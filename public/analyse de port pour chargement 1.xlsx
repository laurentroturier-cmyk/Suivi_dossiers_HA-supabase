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98ce018\Downloads\"/>
    </mc:Choice>
  </mc:AlternateContent>
  <xr:revisionPtr revIDLastSave="0" documentId="13_ncr:1_{2CC80A84-33D2-46C4-9272-72124416464B}" xr6:coauthVersionLast="47" xr6:coauthVersionMax="47" xr10:uidLastSave="{00000000-0000-0000-0000-000000000000}"/>
  <bookViews>
    <workbookView xWindow="-120" yWindow="-120" windowWidth="29040" windowHeight="15720" xr2:uid="{E42D8080-A22C-4707-89E4-95AA1C3DD78F}"/>
  </bookViews>
  <sheets>
    <sheet name="query (18)" sheetId="1" r:id="rId1"/>
    <sheet name="A013 TCD" sheetId="2" r:id="rId2"/>
  </sheets>
  <definedNames>
    <definedName name="query__18" localSheetId="0" hidden="1">'query (18)'!$A$1:$AS$133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2" i="1" l="1"/>
  <c r="AT3" i="1"/>
  <c r="AT4"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713B1B-0596-4F9B-AF63-F91F3CCF727B}" odcFile="C:\Users\98ce018\Downloads\query (18).iqy" keepAlive="1" name="query (18)" type="5" refreshedVersion="8" minRefreshableVersion="3" saveData="1">
    <dbPr connection="Provider=Microsoft.Office.List.OLEDB.2.0;Data Source=&quot;&quot;;ApplicationName=Excel;Version=12.0.0.0" command="&lt;LIST&gt;&lt;VIEWGUID&gt;779C7BAC-D629-402F-9F55-5A32B77CFD40&lt;/VIEWGUID&gt;&lt;LISTNAME&gt;d73e52fe-c97e-47d0-9187-47c1e79cbddf&lt;/LISTNAME&gt;&lt;LISTWEB&gt;https://afpa365.sharepoint.com/sites/DNA948/_vti_bin&lt;/LISTWEB&gt;&lt;LISTSUBWEB&gt;&lt;/LISTSUBWEB&gt;&lt;ROOTFOLDER&gt;&lt;/ROOTFOLDER&gt;&lt;/LIST&gt;" commandType="5"/>
  </connection>
</connections>
</file>

<file path=xl/sharedStrings.xml><?xml version="1.0" encoding="utf-8"?>
<sst xmlns="http://schemas.openxmlformats.org/spreadsheetml/2006/main" count="3171" uniqueCount="1041">
  <si>
    <t>Titre</t>
  </si>
  <si>
    <t>Date de l'Analyse</t>
  </si>
  <si>
    <t>Segment</t>
  </si>
  <si>
    <t>Famille d'achat</t>
  </si>
  <si>
    <t>Sous famille</t>
  </si>
  <si>
    <t>Difficulté d’homologation venant des clients</t>
  </si>
  <si>
    <t>Diversité des outillages requis</t>
  </si>
  <si>
    <t>Dossier technique incomplet</t>
  </si>
  <si>
    <t>Qualité demandée inhabituelle sur le marché</t>
  </si>
  <si>
    <t>Services techniques peu ouverts aux produits de substitution</t>
  </si>
  <si>
    <t>Connaissance tardive des besoins</t>
  </si>
  <si>
    <t>Fournisseur imposé</t>
  </si>
  <si>
    <t>Limites géographiques imposées en interne</t>
  </si>
  <si>
    <t>Lourdeurs Administratives</t>
  </si>
  <si>
    <t>Manque de communication interne</t>
  </si>
  <si>
    <t>Dépendance fournisseur</t>
  </si>
  <si>
    <t>Non-conformité réglementaire</t>
  </si>
  <si>
    <t>Problèmes de qualité</t>
  </si>
  <si>
    <t>Rupture d’approvisionnement</t>
  </si>
  <si>
    <t>Manque de transparence fournisseur</t>
  </si>
  <si>
    <t>Risque de dépendance technologique</t>
  </si>
  <si>
    <t>Insatisfaction des clients internes</t>
  </si>
  <si>
    <t>Variabilité des coûts</t>
  </si>
  <si>
    <t>Renforcement de la chaîne d’approvisionnement</t>
  </si>
  <si>
    <t>Optimisation des coûts</t>
  </si>
  <si>
    <t>Innovation fournisseur</t>
  </si>
  <si>
    <t>Réduction des délais de livraison</t>
  </si>
  <si>
    <t>Meilleure maîtrise des risque</t>
  </si>
  <si>
    <t>Amélioration des relations fournisseurs</t>
  </si>
  <si>
    <t>Automatisation et digitalisation</t>
  </si>
  <si>
    <t>Amélioration de l’image RSE</t>
  </si>
  <si>
    <t>Couverture contractuelle</t>
  </si>
  <si>
    <t>Plan d'action</t>
  </si>
  <si>
    <t>Programmation</t>
  </si>
  <si>
    <t>Levier Achat</t>
  </si>
  <si>
    <t>Acheteur</t>
  </si>
  <si>
    <t>Total_Opportun</t>
  </si>
  <si>
    <t>Total_Risques</t>
  </si>
  <si>
    <t>Total_CIT</t>
  </si>
  <si>
    <t>Total_CIC</t>
  </si>
  <si>
    <t>Total_CET</t>
  </si>
  <si>
    <t>Total_CEC</t>
  </si>
  <si>
    <t>ID</t>
  </si>
  <si>
    <t>Chemin d'accès</t>
  </si>
  <si>
    <t>Type d'élément</t>
  </si>
  <si>
    <t>Informatique &amp; Telecom - Systèmes d'impression</t>
  </si>
  <si>
    <t>Informatique &amp; Telecom</t>
  </si>
  <si>
    <t>Systèmes d'impression</t>
  </si>
  <si>
    <t>2	l’achat n’est remis en question que pour quelques pièces,</t>
  </si>
  <si>
    <t>3	entraîne une réduction du nombre de fournisseurs potentiels,</t>
  </si>
  <si>
    <t>3	reporte l’achat à cause d’une refonte nécessaire du dossier technique,</t>
  </si>
  <si>
    <t>1	la forte concurrence amène les fournisseurs à s’adapter,</t>
  </si>
  <si>
    <t>0	aucune difficulté pour recourir à des produits de substitution,</t>
  </si>
  <si>
    <t>5 les achats ne sont que des achats d’urgence par manque de prévisions.</t>
  </si>
  <si>
    <t>1 les impositions correspondent au meilleur choix,</t>
  </si>
  <si>
    <t>0 il n’y a pas de limite géographique à l’achat,</t>
  </si>
  <si>
    <t>4 le changement de fournisseur est long et fastidieux du fait des procédures administratives,</t>
  </si>
  <si>
    <t>5 le défaut de communication interne est à l’origine d’achats réalisés dans des conditions défavorables.</t>
  </si>
  <si>
    <t>0 - Nul</t>
  </si>
  <si>
    <t>1 - Faible</t>
  </si>
  <si>
    <t>3 - Important</t>
  </si>
  <si>
    <t>2 - Modéré</t>
  </si>
  <si>
    <t>0 - Sécurisé</t>
  </si>
  <si>
    <t>T4 2028</t>
  </si>
  <si>
    <t>Julie GAUJARD</t>
  </si>
  <si>
    <t>sites/DNA948/Lists/Analyse de Portefeuille FINA</t>
  </si>
  <si>
    <t>Élément </t>
  </si>
  <si>
    <t>Informatique &amp; Telecom - Services de Téléphonie</t>
  </si>
  <si>
    <t>Services de Téléphonie</t>
  </si>
  <si>
    <t>1	les modifications sont minimes et sans conséquence sur l’achat,</t>
  </si>
  <si>
    <t>0	égale à la moyenne du secteur,</t>
  </si>
  <si>
    <t>2	retarde l’achat en l’absence de responsabilité technique,</t>
  </si>
  <si>
    <t>0	la qualité demandée correspond à la moyenne du marché,</t>
  </si>
  <si>
    <t>Etudier le recours à une central d'achat car achats simples</t>
  </si>
  <si>
    <t>T2 2027</t>
  </si>
  <si>
    <t>Informatique &amp; Telecom - Services de réseaux informatiques</t>
  </si>
  <si>
    <t>Services de réseaux informatiques</t>
  </si>
  <si>
    <t>1	de nombreux fournisseurs possèdent le parc requis,</t>
  </si>
  <si>
    <t>5	les manques bloquent l’acte d’achat.</t>
  </si>
  <si>
    <t>3 quelques rares fournisseurs imposés peuvent faire l’objet d’une mise en concurrence,</t>
  </si>
  <si>
    <t>Conserver le fonctionnement d'un marché UGAP</t>
  </si>
  <si>
    <t>2028</t>
  </si>
  <si>
    <t>Faire ou faire faire (externalisation)</t>
  </si>
  <si>
    <t>Informatique &amp; Telecom - Réseau informatique</t>
  </si>
  <si>
    <t>Réseau informatique</t>
  </si>
  <si>
    <t>3	oblige à n’acheter que des produits de substitution homologués,</t>
  </si>
  <si>
    <t>0 l’acheteur a toute latitude dans le choix du fournisseur,</t>
  </si>
  <si>
    <t>4 - Faible</t>
  </si>
  <si>
    <t>Obtenir une expression de besoin du client interne pour savoir si le recours à une centrale d'achat est une option ou s'il faut traiter le dossier en globalité sur un projet de remplacement du matériel obsolète.</t>
  </si>
  <si>
    <t>2026</t>
  </si>
  <si>
    <t>Laurine AUVRAY</t>
  </si>
  <si>
    <t>Informatique &amp; Telecom - Prestations liées aux Progiciels</t>
  </si>
  <si>
    <t>Prestations liées aux Progiciels</t>
  </si>
  <si>
    <t>5	aucune marge de manœuvre n’est possible.</t>
  </si>
  <si>
    <t>1	les prévisions sont relativement satisfaisantes pour couvrir les besoins des acheteurs,</t>
  </si>
  <si>
    <t>2 après négociation interne, l’acheteur parvient à qualifier d’autres fournisseurs,</t>
  </si>
  <si>
    <t>2 les limites géographiques imposées limitent le choix de fournisseurs,</t>
  </si>
  <si>
    <t>1 la communication est suffisante pour les besoins des achats,</t>
  </si>
  <si>
    <t>1 - Très bon niveau</t>
  </si>
  <si>
    <t>Tenter de faire correspondre les dates d'échéance des différents marchés de TMA en cours pour relancer une procédure globale allotie (TMMA, EPM, ORHA, FINA, Portail,...) pour éviter la multiplications des procédures et du temps alloué.</t>
  </si>
  <si>
    <t>Informatique &amp; Telecom - Prestations liées au matériel et à l'infra</t>
  </si>
  <si>
    <t>Prestations liées au matériel et à l'infra</t>
  </si>
  <si>
    <t>4	les spécifications sont à l’origine d’une réduction du nombre de fournisseurs potentiel,</t>
  </si>
  <si>
    <t>4	occasionne des achats approximatifs,</t>
  </si>
  <si>
    <t>3	entraîne une réduction du nombre de fournisseurs qualifiés,</t>
  </si>
  <si>
    <t>2 - Acceptable</t>
  </si>
  <si>
    <t>Maintenir la dynamique sur le contrat en cours jusqu'à sa fin. Maintenir le planning de la consultation pour notifier dans les délais.</t>
  </si>
  <si>
    <t>2025-2026</t>
  </si>
  <si>
    <t>Optimisation du cahier des charges techniques (amélioration des spécifications, cahier des charges fonctionnel)</t>
  </si>
  <si>
    <t>Informatique &amp; Telecom - Poste de travail Informatique</t>
  </si>
  <si>
    <t>Poste de travail Informatique</t>
  </si>
  <si>
    <t>4 - Majeur</t>
  </si>
  <si>
    <t>Recourir à une centrale d'achat pour s'approvisionner car achats simples</t>
  </si>
  <si>
    <t>T4 2025</t>
  </si>
  <si>
    <t>Informatique &amp; Telecom - Périphériques et accessoires informatiques</t>
  </si>
  <si>
    <t>Périphériques et accessoires informatiques</t>
  </si>
  <si>
    <t>0	elles rejoignent nos propres spécifications,</t>
  </si>
  <si>
    <t>1 le circuit administratif retarde les modifications de dossiers d’achat,</t>
  </si>
  <si>
    <t>3 la communication ne permet pas d’anticiper les besoins,</t>
  </si>
  <si>
    <t>2025</t>
  </si>
  <si>
    <t>Informatique &amp; Telecom - Matériels et accessoires de télécommunication</t>
  </si>
  <si>
    <t>Matériels et accessoires de télécommunication</t>
  </si>
  <si>
    <t>Informatique &amp; Telecom - Logiciels</t>
  </si>
  <si>
    <t>Logiciels</t>
  </si>
  <si>
    <t>4	 oblige à recourir à plusieurs fournisseurs ou sous-traitants,</t>
  </si>
  <si>
    <t>4 le défaut de communication interne crée un frein à l’étude du marché,</t>
  </si>
  <si>
    <t>Obtenir une liste complète des besoins fournie par la DSI et la DII</t>
  </si>
  <si>
    <t>T3 2027</t>
  </si>
  <si>
    <t>Informatique &amp; Telecom - E-learning</t>
  </si>
  <si>
    <t>E-learning</t>
  </si>
  <si>
    <t>4	est à l’origine d’un marché fermé (1 acheteur et 1 vendeur),</t>
  </si>
  <si>
    <t>4	oblige à négocier âprement avec le fabricant retenu par les services techniques,</t>
  </si>
  <si>
    <t>1 les limites géographiques imposées n’entraînent pas de frein à l’achat,</t>
  </si>
  <si>
    <t>2 les contacts sont rares avec les services non directement concernés par l’acte d’achat,</t>
  </si>
  <si>
    <t>Mieux travailler le cahier des charges par le client interne pour optimiser la concurrence</t>
  </si>
  <si>
    <t>Informatique &amp; Telecom - Datacenter et Cloud</t>
  </si>
  <si>
    <t>Datacenter et Cloud</t>
  </si>
  <si>
    <t>Informatique &amp; Telecom - Conseil et audit</t>
  </si>
  <si>
    <t>Conseil et audit</t>
  </si>
  <si>
    <t>4 les prévisions n’existent qu’à court terme et ont donc un impact moindre auprès des fournisseurs,</t>
  </si>
  <si>
    <t>Prévoir le type de renouvellement (subséquents avec classement, remise en concurrence...?). Le client interne est-il capable de nous fournir une programmation des besoins à venir.</t>
  </si>
  <si>
    <t>T2 2026</t>
  </si>
  <si>
    <t>Matériels - Solier</t>
  </si>
  <si>
    <t>Matériels</t>
  </si>
  <si>
    <t>Solier</t>
  </si>
  <si>
    <t>Jérôme CORTES</t>
  </si>
  <si>
    <t>Matériels - Quincaillerie d assemblage</t>
  </si>
  <si>
    <t>Quincaillerie d assemblage</t>
  </si>
  <si>
    <t>Laurent AGBOTON</t>
  </si>
  <si>
    <t>Matériels - Quincaillerie d ameublement</t>
  </si>
  <si>
    <t>Quincaillerie d ameublement</t>
  </si>
  <si>
    <t>Matériels - Produits métallurgiques hors bâtiment</t>
  </si>
  <si>
    <t>Produits métallurgiques hors bâtiment</t>
  </si>
  <si>
    <t>1	les précisions nécessaires au fournisseur peuvent être obtenues sans difficulté,</t>
  </si>
  <si>
    <t>0	les prévisions à moyen et long terme sont fiables,</t>
  </si>
  <si>
    <t>0 pas de lourdeur administrative,</t>
  </si>
  <si>
    <t>Lancement d'un AO en regroupant les Produits métallurgiques du Bâtiment</t>
  </si>
  <si>
    <t>2028/2029</t>
  </si>
  <si>
    <t>Conception à coût objectif (CCO)</t>
  </si>
  <si>
    <t>Guy HORNUNG</t>
  </si>
  <si>
    <t>Matériels - Produits d'hygiène et de nettoyage</t>
  </si>
  <si>
    <t>Produits d'hygiène et de nettoyage</t>
  </si>
  <si>
    <t>Matériels - Produit métallurgique du bâtiment</t>
  </si>
  <si>
    <t>Produit métallurgique du bâtiment</t>
  </si>
  <si>
    <t>Matériels - Plaquiste</t>
  </si>
  <si>
    <t>Plaquiste</t>
  </si>
  <si>
    <t>Matériels - Peinture et revêtements muraux</t>
  </si>
  <si>
    <t>Peinture et revêtements muraux</t>
  </si>
  <si>
    <t>Matériels - Outils pneumatiques</t>
  </si>
  <si>
    <t>Outils pneumatiques</t>
  </si>
  <si>
    <t>Matériels - Outils coupants</t>
  </si>
  <si>
    <t>Outils coupants</t>
  </si>
  <si>
    <t>Matériels - Outillage à mains</t>
  </si>
  <si>
    <t>Outillage à mains</t>
  </si>
  <si>
    <t>Matériels - Monteurs de réseau</t>
  </si>
  <si>
    <t>Monteurs de réseau</t>
  </si>
  <si>
    <t>Matériels - Mobilier de bureau d'accueil et accessoire</t>
  </si>
  <si>
    <t>Mobilier de bureau d'accueil et accessoire</t>
  </si>
  <si>
    <t>Matériels - Matériels de surveillance</t>
  </si>
  <si>
    <t>Matériels de surveillance</t>
  </si>
  <si>
    <t>Matériels - Maçonnerie VRD</t>
  </si>
  <si>
    <t>Maçonnerie VRD</t>
  </si>
  <si>
    <t>Matériels - Isolation Thermique par l'Extérieur</t>
  </si>
  <si>
    <t>Isolation Thermique par l'Extérieur</t>
  </si>
  <si>
    <t>Matériels - Gaz industriels</t>
  </si>
  <si>
    <t>Gaz industriels</t>
  </si>
  <si>
    <t>Matériels - Fournitures nautiques et aéronautiques</t>
  </si>
  <si>
    <t>Fournitures nautiques et aéronautiques</t>
  </si>
  <si>
    <t>Matériels - Fournitures Métrologie Marquage</t>
  </si>
  <si>
    <t>Fournitures Métrologie Marquage</t>
  </si>
  <si>
    <t>Matériels - Fournitures Hotellerie Restauration Loisirs</t>
  </si>
  <si>
    <t>Fournitures Hotellerie Restauration Loisirs</t>
  </si>
  <si>
    <t>Matériels - Fournitures Frigoriste</t>
  </si>
  <si>
    <t>Fournitures Frigoriste</t>
  </si>
  <si>
    <t>Matériels - Fournitures électroniques</t>
  </si>
  <si>
    <t>Fournitures électroniques</t>
  </si>
  <si>
    <t>Matériels - Fournitures électriques</t>
  </si>
  <si>
    <t>Fournitures électriques</t>
  </si>
  <si>
    <t xml:space="preserve">Matériels - Fournitures de soudage </t>
  </si>
  <si>
    <t xml:space="preserve">Fournitures de soudage </t>
  </si>
  <si>
    <t>Matériels - Fournitures Cuir et Textile</t>
  </si>
  <si>
    <t>Fournitures Cuir et Textile</t>
  </si>
  <si>
    <t>Matériels - Fournitures Chimie Huile et Graisses</t>
  </si>
  <si>
    <t>Fournitures Chimie Huile et Graisses</t>
  </si>
  <si>
    <t>Matériels - Fournitures chauffagiste et climatiseur</t>
  </si>
  <si>
    <t>Fournitures chauffagiste et climatiseur</t>
  </si>
  <si>
    <t>Matériels - Fournitures Bois Alu PVC</t>
  </si>
  <si>
    <t>Fournitures Bois Alu PVC</t>
  </si>
  <si>
    <t>Matériels - Fournitures Auto Moto Vélo PL</t>
  </si>
  <si>
    <t>Fournitures Auto Moto Vélo PL</t>
  </si>
  <si>
    <t>Matériels - Fournitures Agricole et Horticole</t>
  </si>
  <si>
    <t>Fournitures Agricole et Horticole</t>
  </si>
  <si>
    <t>Matériels - Fournitures ADVF</t>
  </si>
  <si>
    <t>Fournitures ADVF</t>
  </si>
  <si>
    <t>Matériels - Fournitures administratives</t>
  </si>
  <si>
    <t>Fournitures administratives</t>
  </si>
  <si>
    <t>Matériels - Fourniture Secourisme santé et sécurité</t>
  </si>
  <si>
    <t>Fourniture Secourisme santé et sécurité</t>
  </si>
  <si>
    <t>Matériels - Fourniture pour l'imprimerie</t>
  </si>
  <si>
    <t>Fourniture pour l'imprimerie</t>
  </si>
  <si>
    <t>Matériels - Fourniture pour l'horlogerie</t>
  </si>
  <si>
    <t>Fourniture pour l'horlogerie</t>
  </si>
  <si>
    <t>Matériels - Fourniture de la plasturgie</t>
  </si>
  <si>
    <t>Fourniture de la plasturgie</t>
  </si>
  <si>
    <t>Matériels - Fourniture Abrasifs</t>
  </si>
  <si>
    <t>Fourniture Abrasifs</t>
  </si>
  <si>
    <t>Matériels - Equipements de protection individuelle et collective</t>
  </si>
  <si>
    <t>Equipements de protection individuelle et collective</t>
  </si>
  <si>
    <t>Matériels - Emballage-Logistique</t>
  </si>
  <si>
    <t>Emballage-Logistique</t>
  </si>
  <si>
    <t>Matériels - Electroportatifs</t>
  </si>
  <si>
    <t>Electroportatifs</t>
  </si>
  <si>
    <t>Matériels - Couvreur-Zingueur</t>
  </si>
  <si>
    <t>Couvreur-Zingueur</t>
  </si>
  <si>
    <t>Matériels - Carreleur</t>
  </si>
  <si>
    <t>Carreleur</t>
  </si>
  <si>
    <t>Matériels - Carburant non routier</t>
  </si>
  <si>
    <t>Carburant non routier</t>
  </si>
  <si>
    <t>Matériels - Banchage</t>
  </si>
  <si>
    <t>Banchage</t>
  </si>
  <si>
    <t>Prestations - Véhicule de service et de fonction</t>
  </si>
  <si>
    <t>Prestations</t>
  </si>
  <si>
    <t>Véhicule de service et de fonction</t>
  </si>
  <si>
    <t>Stéphane DELATOUR</t>
  </si>
  <si>
    <t>Prestations - Transport de personnes</t>
  </si>
  <si>
    <t>Transport de personnes</t>
  </si>
  <si>
    <t>Le Marché CAP 5 couvre 38% sur 80 000€ ed dépenses en 2025 (location véhicule courte durée ou transport en commun avion,train,..). Les autres dépenses sont des locations de bus avec chauffeur pour transport de stagiaires (40 000€ environ). Le nouveaux seuil du MAPA étant porté à 60 000€, il ne  sera pas réalisé de marché spécifique .</t>
  </si>
  <si>
    <t>Cindy CHUNE</t>
  </si>
  <si>
    <t>Prestations - Signalétique</t>
  </si>
  <si>
    <t>Signalétique</t>
  </si>
  <si>
    <t>Smahan EL MALAH</t>
  </si>
  <si>
    <t>Prestations - Services liés aux déchets et ordures</t>
  </si>
  <si>
    <t>Services liés aux déchets et ordures</t>
  </si>
  <si>
    <t>3	les spécifications obligent à des renégociations avec les fournisseurs,</t>
  </si>
  <si>
    <t>3 les prévisions sont aléatoires, ce qui est préjudiciable aux négociations,</t>
  </si>
  <si>
    <t>2 les lourdeurs administratives occasionnent des retards de paiement des fournisseurs,</t>
  </si>
  <si>
    <t>5 - Extrême</t>
  </si>
  <si>
    <t xml:space="preserve">Revoir le BPU et désignation d'articles obsolescents. Fiabiliser les DQE. Revoir l'allotissement : actuellement en grandes régions, génère de la sous-traitance et des coûts de transport plus élevés. Prévoir un allotissement en mode "territoire" (Regroupement de plusieurs Sites Afpa au plus près des centres de tri), surtout pour les déchets spéciaux </t>
  </si>
  <si>
    <t>2027 S1</t>
  </si>
  <si>
    <t>Karine FANTINI</t>
  </si>
  <si>
    <t>Prestations - Services financiers et d'assurances</t>
  </si>
  <si>
    <t>Services financiers et d'assurances</t>
  </si>
  <si>
    <t>3 le circuit administratif engendre des litiges avec les fournisseurs,</t>
  </si>
  <si>
    <t>2026-2027 :Remise en concurrence des marchés d'assurances qui couvrent 97% du CA. Les 3 % restants correspponde aux franchises qui sont directement payés aux garagistes. Ana lyse d'opportunité pour envisager de faire appel au RESAH (courtieravec une mission de recherche de solutions assurantielles et UGAP (assurance voiture)</t>
  </si>
  <si>
    <t>2027</t>
  </si>
  <si>
    <t>Nathalie CORMIER</t>
  </si>
  <si>
    <t>Prestations - Services divers</t>
  </si>
  <si>
    <t>Services divers</t>
  </si>
  <si>
    <t>Prestations - Services d'Impression, de publication et services connexes</t>
  </si>
  <si>
    <t>Services d'Impression, de publication et services connexes</t>
  </si>
  <si>
    <t>5 - Critique</t>
  </si>
  <si>
    <t>Mettre en place un marché multi service pour couvrir l'ensemble du processus impressions et services connexes comme la numérisation, le façonnage, etc.</t>
  </si>
  <si>
    <t>Harmonisation, standardisation de l'achat</t>
  </si>
  <si>
    <t>Prestations - Services d'entretien d'ascenseurs et de monte-charges portes et portails</t>
  </si>
  <si>
    <t>Services d'entretien d'ascenseurs et de monte-charges</t>
  </si>
  <si>
    <t>Sourcing afin d'assurer un maximum de candidatures lors de la consultation. Optimiser la passation de commandes groupées et le plus tôt possible dans l'année afin de garantir la planification des interventions de maintenance. Participer à des salons prof.</t>
  </si>
  <si>
    <t>2028 S2</t>
  </si>
  <si>
    <t>Sourcing fournisseurs / benchmark (connaissance offre du marché, connaissance structures de coûts)</t>
  </si>
  <si>
    <t>Prestations-Accompagnement psychologique des salariés</t>
  </si>
  <si>
    <t>Services de santé et services sociaux</t>
  </si>
  <si>
    <t>1	il faut que l’acheteur démontre la pertinence technique des produits de substitution,</t>
  </si>
  <si>
    <t>A renouveler en fonction des besoins RH. Le marché convient bien aux besoins du service RH et aux utilisateurs. Un bilan de marché permettra de revoir les spécifications, voire peut-être d'intégrer des innovations (IA).</t>
  </si>
  <si>
    <t>Renouvellement à prévoir pour avril 2028</t>
  </si>
  <si>
    <t>Optimisation du besoin (bilan du marché avec groupe utilisateurs, meilleure qualité, réduction nombre références, …)</t>
  </si>
  <si>
    <t>Prestations - Services de recrutement</t>
  </si>
  <si>
    <t>Services de recrutement</t>
  </si>
  <si>
    <t>Prestations - Services de nettoyage et d'hygiène</t>
  </si>
  <si>
    <t>Services de nettoyage et d'hygiène</t>
  </si>
  <si>
    <t>Stephan DEMONT</t>
  </si>
  <si>
    <t>Prestations - Services de gardiennage et de surveillance</t>
  </si>
  <si>
    <t>Services de gardiennage et de surveillance</t>
  </si>
  <si>
    <t>Prestations - Services de certification pour la formation</t>
  </si>
  <si>
    <t>Services de certification pour la formation</t>
  </si>
  <si>
    <t>Frais aux titres de certification + Frais d'agrément pour la formation</t>
  </si>
  <si>
    <t>4 l’acheteur a des difficultés pour obtenir des conditions commerciales favorables,</t>
  </si>
  <si>
    <t>La catégorie « Frais aux titres de certification » repose principalement sur le pilotage des dispositifs existants plutôt que sur de nouvelles consultations :  Les certifications TFP APS en Aquitaine, certification CQPM « Équipier autonome de production industrielle » en Hauts-de-France, certificats, redevances et habilitations CléA, ainsi que la redevance QUALIT’ENR – relèvent de titres propriétaires et de dispositifs encadrés par des organismes ou branches détentrices de droits exclusifs, ce qui ne permet pas une mise en concurrence classique : l’action achat consiste donc à maintenir le recours au gré à gré juridiquement sécurisé (justification par les droits exclusifs et textes de référence), tout en mettant ces dépenses sous contrôle budgétaire via un suivi annuel par type de certification (volumes, coûts unitaires, montants globaux) et l’optimisation des volumes (regroupement de sessions, anticipation des besoins), les leviers d’optimisation portant ainsi sur le pilotage et la sécurisation plutôt que sur la concurrence. La catégorie « Frais d’agrément pour la formation » regroupe les frais d’agrément TFP APS (Nouvelle-Aquitaine, Grand Est, PACA), ainsi que, pour le Siège, les certifications Qualiopi et les redevances annuelles PVE.FIXE, qualiPAC, qualiSOL et qualiPV. Ces dépenses correspondent à des agréments et certifications spécifiques, délivrés par des organismes désignés, pour lesquels il n’existe pas de mise en concurrence possible ; cette catégorie ne nécessite donc pas la mise en place d’un marché formalisé de type MAPA.</t>
  </si>
  <si>
    <t>Ana-Maria REYES-RIPOLL</t>
  </si>
  <si>
    <t>Prestations - Services de formations des stagiaires</t>
  </si>
  <si>
    <t>Services de formations des stagiaires</t>
  </si>
  <si>
    <t>Optimisation de la mise en concurrence (choix procédure, allotissement, critères, pondération)</t>
  </si>
  <si>
    <t xml:space="preserve">Prestations - Services de documentation </t>
  </si>
  <si>
    <t xml:space="preserve">Services de documentation </t>
  </si>
  <si>
    <t>IMPRIMES PLAQUETTES ET BROCHURES</t>
  </si>
  <si>
    <t xml:space="preserve">Il s'agit d'impression sur différents supports et formats. Cette famille doit être regroupée avec le de l'impression et signalétique.
</t>
  </si>
  <si>
    <t>Prestations - Services de conseil en affaires et en gestion et services connexes.</t>
  </si>
  <si>
    <t>Services de conseil en affaires et en gestion et services connexes.</t>
  </si>
  <si>
    <t>87%de couverture contractuelle dont 60% couvert par l'UGAP. Généraliser le recours à l'ugap concernant des prestations de conseil en organisation et gestion générale</t>
  </si>
  <si>
    <t>Prestations - Services de conception graphique</t>
  </si>
  <si>
    <t>Services de conception graphique</t>
  </si>
  <si>
    <t>Mettre en place un marché en 2026</t>
  </si>
  <si>
    <t>Optimisation de la contractualisation (clauses prix, pénalités, ...)</t>
  </si>
  <si>
    <t>Prestations - Services d'appui bureautique</t>
  </si>
  <si>
    <t>Services d'appui bureautique</t>
  </si>
  <si>
    <t>Rédactionnel et autres appuis administratifs</t>
  </si>
  <si>
    <t xml:space="preserve">dslfkgflxkgn,fdm!ghltklhg:;gbrygjk,h;
</t>
  </si>
  <si>
    <t>Prestations - Services d'analyses bactériologiques</t>
  </si>
  <si>
    <t>Services d'analyses bactériologiques</t>
  </si>
  <si>
    <t>Prestations - Service d'organisation d'évènements_SEMINAIRES</t>
  </si>
  <si>
    <t>Service d'organisation d'évènements et de séminaires</t>
  </si>
  <si>
    <t>Organisation de séminaires</t>
  </si>
  <si>
    <t>Cette catégorie Achat " séminaires" dépends surtout des sujets et besoins qui sont ponctuels sur le moment venu. Les dépenses 2025 représente environ 50 000€HT avec 57% du budget utilisés par le National. Le nouveau seuil du MAPA étant fixé 60 000€HT, nous ne mettrons pas en place de marché.</t>
  </si>
  <si>
    <t>NEANT</t>
  </si>
  <si>
    <t>Simplification du processus achat (coût de la commande, ...)</t>
  </si>
  <si>
    <t>Prestations - Service divertissements, culturels et sportifs</t>
  </si>
  <si>
    <t>Service divertissements, culturels et sportifs</t>
  </si>
  <si>
    <t>La sous-famille d’achat « Services divertissements, culturels et sportifs » regroupe principalement les prestations d’animation d’ateliers au bénéfice des publics accueillis dans les dispositifs nationaux d’accompagnement (marché DPN), ainsi que certaines actions liées à la qualité de vie au travail (QVT).  Le marché national DPN, renouvelé le 17/12/2024, est en vigueur jusqu’au 16/12/2028.  Les marchés du titulaire LEO LAGRANGE ANIMATION ont été résilié le 25/02/2026, et une note d’opportunité est en cours de validation pour renouveler le marché sur les 3 lots HDF, Occitanie et PACA. Il s’agit de renouveler le marché pour 30 mois pour qu’il s’arrête le 16/12/2028. Le renouvellement est déjà prévu du marché national dans les projets. Les autres dépenses de cette sous-famille, de nature plus ponctuelle, contextuelle et souvent de montants plus limités (animations locales, actions QVT spécifiques, événements culturels ou sportifs), sont gérées au niveau local via des consultations adaptées, ce qui permet de tenir compte des besoins de chaque site, de solliciter le tissu d’acteurs locaux et de respecter les règles de mise en concurrence en fonction des seuils applicables, sans nécessité de marché national dédié.</t>
  </si>
  <si>
    <t>Prestations - Service d'ingénierie</t>
  </si>
  <si>
    <t>Service d'ingénierie</t>
  </si>
  <si>
    <t xml:space="preserve">Prestations - Service d'hotellerie et de restauration </t>
  </si>
  <si>
    <t xml:space="preserve">Service d'hotellerie et de restauration </t>
  </si>
  <si>
    <t>Acquisition de titres de restauration</t>
  </si>
  <si>
    <t xml:space="preserve">Remise en concurrence sur la base d'un cahier des charges intégrant l'echange EDI </t>
  </si>
  <si>
    <t>Prestations - Service de réparation et d'entretien d'équipement de restauration</t>
  </si>
  <si>
    <t>Service de réparation et d'entretien d'équipement de restauration</t>
  </si>
  <si>
    <t>Aucun plan d'action, compte tenu de la fermeture de nos restaurants au 31/03/2027. Le contrat de maintenance pris en charge par laurent Agboton ne sera maintenu que sur les restaurants pédagogiques</t>
  </si>
  <si>
    <t>Prestations - Service de réparation et d'entretien de moyens de transport</t>
  </si>
  <si>
    <t>Service de réparation et d'entretien de moyens de transport</t>
  </si>
  <si>
    <t>A compléter</t>
  </si>
  <si>
    <t>A Compléter</t>
  </si>
  <si>
    <t>Achats locaux et en "one shot" effectués par les Acheteurs Territoriaux. Pas de contrat national.</t>
  </si>
  <si>
    <t xml:space="preserve">Prestations - Service de réparation et d'entretien de mobilier outillage et petits matériels </t>
  </si>
  <si>
    <t xml:space="preserve">Service de réparation et d'entretien de mobilier outillage et petits matériels </t>
  </si>
  <si>
    <t>Prestations - Service de réparation et d'entretien de matériels de manutention industriels</t>
  </si>
  <si>
    <t>Service de réparation et d'entretien de matériels de manutention industriels</t>
  </si>
  <si>
    <t>Prestations - Service de réparation et d'entretien de matériels de lutte contre l'incendie</t>
  </si>
  <si>
    <t>Service de réparation et d'entretien de matériels de lutte contre l'incendie</t>
  </si>
  <si>
    <t>Prestations - Service de réparation et d'entretien de matériels de chantier et TP</t>
  </si>
  <si>
    <t>Service de réparation et d'entretien de matériels de chantier et TP</t>
  </si>
  <si>
    <t>Prestations - Service de réparation et d'entretien de chauffage</t>
  </si>
  <si>
    <t>Service de réparation et d'entretien de chauffage</t>
  </si>
  <si>
    <t>Prestations - Service de publicité et marketing - conseil communication</t>
  </si>
  <si>
    <t>Service de publicité et marketing</t>
  </si>
  <si>
    <t>Conseil en communication</t>
  </si>
  <si>
    <t>Environ 87% des dépenses du petit enfant sont couverts par des marchés ou abonnement via computacenter. A surveiller</t>
  </si>
  <si>
    <t>Suivi de la performance fournisseurs (tableau de bord, bilan annuel partagé, plan de progrès, …)</t>
  </si>
  <si>
    <t>Prestations - Services de formation du Personnel AFPA</t>
  </si>
  <si>
    <t>Service de gestion du personnel</t>
  </si>
  <si>
    <t>Services de formation du Personnel AFPA</t>
  </si>
  <si>
    <t xml:space="preserve">Prestations - Service de gestion du personnel </t>
  </si>
  <si>
    <t xml:space="preserve">Service de gestion du personnel </t>
  </si>
  <si>
    <t>Formation du personnel Afpa</t>
  </si>
  <si>
    <t>2	les variations d’activité sont mal évaluées, ce qui oblige à des révisions de contrats,</t>
  </si>
  <si>
    <t>Prestations - Service de gestion de blanchisserie et de nettoyage à sec</t>
  </si>
  <si>
    <t>Service de gestion de blanchisserie et de nettoyage à sec</t>
  </si>
  <si>
    <t>Prestations - Service de déménagement - GEPP</t>
  </si>
  <si>
    <t>Service de déménagement</t>
  </si>
  <si>
    <t>Déménagement des salariés</t>
  </si>
  <si>
    <t>Marché à mettre en place</t>
  </si>
  <si>
    <t>Prestations - Service de conseil juridique, de comptabilité et services fiscaux</t>
  </si>
  <si>
    <t>Service de conseil juridique, de comptabilité et services fiscaux</t>
  </si>
  <si>
    <t>Le taux de couverture contractuelle selon les 3 catégories d'achats, audits comptable et financier, conseil juridique et service de comptabilité sont entre 63% et 97%. Cette couverture est acceptable, sachant que dans le conseil juridique il y a parfois des mauvaises affectations (ex huissiers qui ne sont pas soumis au CCP ainsi que les prestations de représentations légales. Pas vraiment de plan d'action excepté peut-être de voir s'il existe des contrats à l'UGAP pour remplacer nos contrats existants</t>
  </si>
  <si>
    <t>2029</t>
  </si>
  <si>
    <t>Prestations - Service de conseil en ressources humaines</t>
  </si>
  <si>
    <t>Service de conseil en ressources humaines</t>
  </si>
  <si>
    <t>Prestations - Service d'archivage</t>
  </si>
  <si>
    <t>Service d'archivage</t>
  </si>
  <si>
    <t>Préparer le renouvellement du marché (actualiser le besoin,...)</t>
  </si>
  <si>
    <t>Centre d'appel</t>
  </si>
  <si>
    <t>2	produits imposés pour certaines phases de production,</t>
  </si>
  <si>
    <t xml:space="preserve">La PAN a démontré son efficacité lors des 2 dernières mises en concurrence. Ce levier de mise en concurrence est actionnable à chaque renouvellement. Le mécanisme bonus/malus indexé sur des KPI à forte valeur ajoutée (taux de transformation d'appel, taux de satisfaction, taux de décroché) constitue un levier de pilotage de la performance en continu. Ce modèle doit être affiné dès le démarrage pour éviter les zones grises. Un autre levier celui de IA et de l'omnicanalité  est important et structurant permettant d'optimiser les parcours et réduire la DMT; Autre levier, celui de la réduction des volumes d'appels et donc des coûts avec la digitalisation progressive. 2 facteurs : le nouveau site web afpa (horizon 2026) va permettre la bascule vers le canal digital. Orchestrateur de flux (horizon 2027) : économies estimées à -30% sur le budget (source Bearing Point). La clause de revoyure prévue va permettre de réviser les volumes réels, d'ajuster les prix unitaires en lien avec les gains d'efficacité et d'intégrer les KPIs opérationnels (taux de bascule web, coût par contact résiduel). C'est un levier de sécurisation budgétaire essentiel dans un contexte de transformation numérique. Plan d'action : juillet 2026 -juin 2027: optimisation et revoyure - Innovation et préparation renouvellement (2028-2029) : Evaluation des conditions de reconduction (36ème mois)- Veille marché - Bilan performance achats global. Lancement NO N+1 si non reconduction.
</t>
  </si>
  <si>
    <t>Prestations - Service 3D - dératisation desinsectisation desinfection</t>
  </si>
  <si>
    <t>Service 3D - dératisation desinsectisation desinfection</t>
  </si>
  <si>
    <t>Prestations - Multi techniques et multiservices</t>
  </si>
  <si>
    <t>Multi techniques et multiservices</t>
  </si>
  <si>
    <t>Allotissement local (Centre/Territoire) et publication par les régions afin de favoriser les candidats micro-entreprises avec une meilleure adaptation aux besoins des Centres et une optimisation du coût horaire. Pilotage national des consultations avec mise à disposition d'un DCE type.</t>
  </si>
  <si>
    <t>2025 S2</t>
  </si>
  <si>
    <t>Prestations - Maintenance et réparation</t>
  </si>
  <si>
    <t>Maintenance et réparation</t>
  </si>
  <si>
    <t>Prestations - Etudes de marché et recherches économiques ; sondages et statistiques.</t>
  </si>
  <si>
    <t>Etudes de marché et recherches économiques ; sondages et statistiques.</t>
  </si>
  <si>
    <t xml:space="preserve">1-Sourcing marché fournisseurs — préparation 2028
Identifier les acteurs capables de répondre à un futur DCE : IPSOS, KANTAR, BVA Group, Ifop, Opinion Way, et nouveaux entrants tech (collecte CAWI augmentée, IA de scoring)
Organiser 2 à 3 RDV sourcing  avant toute procédure
Utiliser le BOAMP (sourcing public)? BRAPI et MAIA pour benchmark TJM prestations intellectuelles
2-Note d'opportunité et DCE 2028 — marché LVDC (98% du CA de la famille ; Lancer la procédure 18 mois avant la fin du marché (fin contrat actuel : ~juillet 2028)
Intégrer les retours d'expérience du marché 2024-2028 : performance achat réelle vs -3% estimé, qualité des livrables, incidents RGPD
Viser un BPU renforcé avec paliers de volume dégressifs
Livrable : note d'opportunité validée en commission achats T1 2028, publication DCE T2 2028
3-Intégrer une clause sociale dans le prochain DCE
Identifier une clause d'insertion réaliste pour un marché de télé-enquête 
</t>
  </si>
  <si>
    <t>Prestations - Entretien des espaces verts</t>
  </si>
  <si>
    <t>Entretien des espaces verts</t>
  </si>
  <si>
    <t>Prestations - Energies et fluides</t>
  </si>
  <si>
    <t>Energies et fluides</t>
  </si>
  <si>
    <t>Prestations - Droits d'auteurs et prestations diverses</t>
  </si>
  <si>
    <t>Droits d'auteurs et prestations diverses</t>
  </si>
  <si>
    <t>0	sans impact pour l’achat,</t>
  </si>
  <si>
    <t>0 la communication interne est excellente et fiable,</t>
  </si>
  <si>
    <t>Les droits d'auteur constituent un élément contractuel intégré aux marchés de prestations intellectuelles ou créatives. Il n'est donc pas possible de mettre en place exclusivement un marché pour les droits d'auteurs. Les coûts sont imposés et calculés par une institution spécifique.</t>
  </si>
  <si>
    <t>pas de programmation</t>
  </si>
  <si>
    <t>Prestations - Courrier et affranchissements</t>
  </si>
  <si>
    <t>Courrier et affranchissements</t>
  </si>
  <si>
    <t>Prestations - Contrôle technique</t>
  </si>
  <si>
    <t>Contrôle technique</t>
  </si>
  <si>
    <t>Achat local effectué par les Acheteurs Territoriaux pour les véhicules en propriété. Prestation incluse au marché LLD de la flotte de véhicule service.</t>
  </si>
  <si>
    <t>Prestations - Contrôle reglementaire</t>
  </si>
  <si>
    <t>Contrôle reglementaire</t>
  </si>
  <si>
    <t>L'allotissement actuel (géographique) n'étant pas pertinent, car les acteurs du marché ont une couverture nationale. Regroupement des marchés contrôles des équipements et contrôles des installations sur une consultation unique avec des lots techniques : 1 pour chacun des 2 items cités.</t>
  </si>
  <si>
    <t>Prestations - Annonces et insertions</t>
  </si>
  <si>
    <t>Annonces et insertions</t>
  </si>
  <si>
    <t>90% des achats sont réalisés avec des fournisseurs ayant leur spécificité (monopole). Sur les 10% restant une surveillance des dépenses sera mise ne place dans le 1er semestre 2026</t>
  </si>
  <si>
    <t>non prioritaire</t>
  </si>
  <si>
    <t>Prestations - Services de cotisation à associations et clubs professionnels</t>
  </si>
  <si>
    <t>Services de cotisation à associations et clubs professionnels</t>
  </si>
  <si>
    <t>Le segment d'achat relatif aux Services de cotisation à associations et clubs professionnels  relève plutôt des dispositifs de partenariats dont les engagements se concrétise via les conventions . En effet, ces prestations sont régies par des conventions bilatérales signées selon les besoins spécifiques, plutôt que par des marchés publics formalisés. Cette modalité contractuelle répond à la nature des besoins, de caractère local et régional, pris en charge en toute autonomie par chaque centre Afpa en fonction de ses priorités institutionnelles. En conséquence, aucune procédure de marché n'est requise.</t>
  </si>
  <si>
    <t>Autre levier (à préciser)</t>
  </si>
  <si>
    <t>Services de certification ou d'agrément pour la formation</t>
  </si>
  <si>
    <t>Services de comédiens</t>
  </si>
  <si>
    <t>La catégorie d’achat « services de comédiens » ne fera pas l’objet d’un MAPA national, la dépense annuelle étant inférieure à 40 k€ et le marché étant constitué essentiellement de prestataires locaux qui ne répondent pas à des procédures formalisées complexes au niveau national ; cette catégorie sera donc gérée au niveau régional, via des consultations adaptées auprès de comédiens locaux, dans le respect des seuils et règles de la commande publique.</t>
  </si>
  <si>
    <t>Prestations - Audits et certifications</t>
  </si>
  <si>
    <t>Audits et certifications</t>
  </si>
  <si>
    <t>Travaux - Terrains et immeubles</t>
  </si>
  <si>
    <t>Travaux</t>
  </si>
  <si>
    <t>Terrains et immeubles</t>
  </si>
  <si>
    <t>Location salles courte durée sans bail</t>
  </si>
  <si>
    <t>Aucun plan d'action à ce niveau, étant donné la spécificité de ce marché</t>
  </si>
  <si>
    <t>T1-2026</t>
  </si>
  <si>
    <t>Location plutôt qu'Achat</t>
  </si>
  <si>
    <t>Paola ANTONELLI</t>
  </si>
  <si>
    <t>Travaux - Structures et clos couvert</t>
  </si>
  <si>
    <t>Structures et clos couvert</t>
  </si>
  <si>
    <t xml:space="preserve">La famille "structures et clos couvert" représente 7 067 630,80€ HT commandé en 2024, soit 27% du montant total des commandes travaux.  La notion de catalogue pour cette famille ne veut pas dire "contrat à bon de commande" mais qu'il y a eu une consultation (34 consultations avec 32 MAPA, 1 demande de devis et 1 PNSC). Ces contrats issus de consultation représentent 6 067 954,53€ H, nous sommes au-dessus du seuil d'un AOO.  La mise en place d'un accord cadre à bon de commande est sans doute possible sur plusieurs familles mais il nous faut de la visibilité sur les volumes. </t>
  </si>
  <si>
    <t>T1 2026</t>
  </si>
  <si>
    <t>Globalisation, mutualisation</t>
  </si>
  <si>
    <t>Lauriane MALARD</t>
  </si>
  <si>
    <t>Travaux - Services de maîtrise d'oeuvre immobilière</t>
  </si>
  <si>
    <t>Services de maîtrise d'oeuvre immobilière</t>
  </si>
  <si>
    <t>Poursuivre la mise en place d'accords cadres à bons de commande sur les MOE et prestations associées (géomètre, étude de sol, détection de réseaux, ...) en complément de ceux déjà existants (MOE, Diag, CTC et SPS).</t>
  </si>
  <si>
    <t>T4-2025</t>
  </si>
  <si>
    <t>Loic LECLERCQ</t>
  </si>
  <si>
    <t>Travaux - Revêtement de façade</t>
  </si>
  <si>
    <t>Revêtement de façade</t>
  </si>
  <si>
    <t>Travaux de peinture, isolation, revêtement de façades</t>
  </si>
  <si>
    <t>Massification des consultations à prévoir pour les Travaux de peinture, isolation, revêtement de façades. Contrat cadre existant pour la maintenance et la réparation.</t>
  </si>
  <si>
    <t>Travaux - Installations techniques</t>
  </si>
  <si>
    <t>Installations techniques</t>
  </si>
  <si>
    <t>Mise en place de contrat à bons de commande pour l'entretien/maintenance</t>
  </si>
  <si>
    <t>Travaux - Infrastructures et VRD</t>
  </si>
  <si>
    <t>Infrastructures et VRD</t>
  </si>
  <si>
    <t>Obtenir une planification sur l'année en cours et prévisions sur les années à venir pour mettre en place des contrats cadres.</t>
  </si>
  <si>
    <t>T4-2026</t>
  </si>
  <si>
    <t>Travaux - Construction modulaire</t>
  </si>
  <si>
    <t>Construction modulaire</t>
  </si>
  <si>
    <t>Location de construction modulaire</t>
  </si>
  <si>
    <t>Les commandes à ce jour portent uniquement sur la sous-famille "Location de construction modulaire".; d'où l'analyse de ce sous-portefeuille. La nécessité sera d'organiser un contrat cadre à bons de commande et alloti géographiquement.</t>
  </si>
  <si>
    <t>TRIMESTRE 1-2026</t>
  </si>
  <si>
    <t>Travaux - Aménagements intérieurs</t>
  </si>
  <si>
    <t>Aménagements intérieurs</t>
  </si>
  <si>
    <t>Disposer d’une meilleure visibilité sur les dossiers à venir facilitera la mutualisation des besoins et contribuera à réduire le nombre de consultations.
Regrouper les travaux d’installation de cloisons et de peinture pour éviter des interventions fractionnées et optimiser les coûts.</t>
  </si>
  <si>
    <t xml:space="preserve">Prestations - Location et entretien linge </t>
  </si>
  <si>
    <t>Location entretien de linges</t>
  </si>
  <si>
    <t xml:space="preserve">il y-a deux actions possible : externaliser en passant par le RESAH si cela peut se faire et si c'est financièrement et techniquement interessant, ou bien miser sur la conccurence. </t>
  </si>
  <si>
    <t>en cours</t>
  </si>
  <si>
    <t>Anne-Sophie CANHAN</t>
  </si>
  <si>
    <t>Prestations - Location fontaine à eau</t>
  </si>
  <si>
    <t>Service d'hotellerie et de restauration</t>
  </si>
  <si>
    <t>Location maintenance de fontaines à eau</t>
  </si>
  <si>
    <t>challenger les prestataires en lice pour obtenir un meilleur prix</t>
  </si>
  <si>
    <t>Prestations - Assistance téléphonique</t>
  </si>
  <si>
    <t>Prestation d’assistance téléphonique Sécurité</t>
  </si>
  <si>
    <t>Anne-sophie CANHAN</t>
  </si>
  <si>
    <t>Prestations - Service 3D</t>
  </si>
  <si>
    <t>Prestations - Alarme détection incendie</t>
  </si>
  <si>
    <t>Maintenance préventive et réparation de matériels de lutte contre l'incendie</t>
  </si>
  <si>
    <t>Prestations - Protection et lutte contre les incendies</t>
  </si>
  <si>
    <t>Frais d'Inscriptions aux certifications</t>
  </si>
  <si>
    <t>La catégorie d’achat « Frais d’inscription aux certifications » couvre les certifications de la branche Aéronautique pour PDL et Occitanie, les certifications DALF/DELF pour le Territoire Digital, ainsi que, pour le siège, les frais liés aux audits et à la certification Apave Certification et à la certification CléA. Ces dépenses correspondent à des frais imposés par des organismes certificateurs désignés de manière exclusive (branche, réglementation, référentiels), ce qui ne permet pas de mise en concurrence ni la mise en place d’un marché formalisé pour ces frais unitaires, les tarifs étant généralement fixés par les organismes eux-mêmes. À côté de ces dépenses, le marché « Certification et qualification des soudeurs », attribué à Bureau Véritas Exploitation et en vigueur jusqu’au 27/03/2029, ne nécessite pas de renouvellement à court terme, mais implique un suivi des consommations et des besoins afin de préparer et ajuster le futur cahier des charges à l’échéance du marché.</t>
  </si>
  <si>
    <t>Prestations - Service de déménagement - industriel et archives</t>
  </si>
  <si>
    <t>Déménagement industriel et archives</t>
  </si>
  <si>
    <t>Mettre en place le marché</t>
  </si>
  <si>
    <t>Prestations - Service d'organisation d'évènements_FOIRES</t>
  </si>
  <si>
    <t>Prestation</t>
  </si>
  <si>
    <t>Prestations liées aux salons foires et débats</t>
  </si>
  <si>
    <t>En principe les espaces de salon sont accessible par chaque organisateur de salon. Mais il n'y a pas d'obligation pour les demandeurs de louer l'aménagement au même organisateur. Il serait pertinent d'approfondir l'analyse sur l'aménagement pour SID. Au regard du moratoire sur les dépenses de communication de décembre 2025, il semble plus judicieux de ne pas prévoir de priorité d'action sur cette thématique.</t>
  </si>
  <si>
    <t>Pas prioritaire</t>
  </si>
  <si>
    <t>Prestations - Service de publicité et marketing- Audiovisuel</t>
  </si>
  <si>
    <t>Audiovisuel</t>
  </si>
  <si>
    <t>88% des achats sont couvert par un marché. Les besoins sont ponctuels et répartis sur plusieurs régions. Sur les sites non couverts par un marché, la moyenne d'achats représente 2150€HT sur 5 sites. A surveiller mais pas de marché à mettre en place en 2026.</t>
  </si>
  <si>
    <t>Prestations - Service de publicité et marketing - Objets publicitaires</t>
  </si>
  <si>
    <t>Objets publicitaires</t>
  </si>
  <si>
    <t>la couverture contractuelle est suffisante</t>
  </si>
  <si>
    <t>Travaux-Terrains et Immeubles</t>
  </si>
  <si>
    <t>Terrains et Immeubles</t>
  </si>
  <si>
    <t>En 2025 et début 2026, la sous-famille Location hébergement courte durée sans bail représente les dépenses suivantes :
Commandés =&gt; 99 785,49 euros ht
Livrées =&gt; 74 478,13 euros ht
Contractualisation difficile</t>
  </si>
  <si>
    <t>Paola Antonelli</t>
  </si>
  <si>
    <t>Étiquettes de lignes</t>
  </si>
  <si>
    <t>Somme de Montant commandé HT</t>
  </si>
  <si>
    <t>Abonnement aux services de transport en commun</t>
  </si>
  <si>
    <t>Abonnements revues supports dématérialisés</t>
  </si>
  <si>
    <t>Abonnements revues supports papier ou mixte</t>
  </si>
  <si>
    <t>Abrasifs</t>
  </si>
  <si>
    <t>Total général</t>
  </si>
  <si>
    <t>Absorbants et dépolluants</t>
  </si>
  <si>
    <t>Accès à distance et droit utilisation e-learning</t>
  </si>
  <si>
    <t>Accessoires Carrosserie</t>
  </si>
  <si>
    <t>Accessoires Chauffage et refroidissement</t>
  </si>
  <si>
    <t>Accessoires Couvreur zingueur</t>
  </si>
  <si>
    <t>Accessoires Cycle</t>
  </si>
  <si>
    <t>Accessoires de cloture</t>
  </si>
  <si>
    <t>Accessoires de finition</t>
  </si>
  <si>
    <t>Accessoires de finition pour les revêtements muraux</t>
  </si>
  <si>
    <t>Accessoires de loisirs</t>
  </si>
  <si>
    <t>Accessoires Echappement</t>
  </si>
  <si>
    <t>Accessoires Electricité</t>
  </si>
  <si>
    <t>Accessoires électriques</t>
  </si>
  <si>
    <t>Accessoires et pièces détachées pour les postes à souder</t>
  </si>
  <si>
    <t>Accessoires Freinage et Pneus</t>
  </si>
  <si>
    <t>Accessoires Moto</t>
  </si>
  <si>
    <t>Accessoires Pièces moteurs</t>
  </si>
  <si>
    <t>Accessoires pour clim et chaufferie</t>
  </si>
  <si>
    <t>Accessoires pour coffrage et etaiement</t>
  </si>
  <si>
    <t>Accessoires pour Escabeaux échelles echaffaudages</t>
  </si>
  <si>
    <t>Accessoires pour le solier</t>
  </si>
  <si>
    <t>Accessoires Suspensions et Directions</t>
  </si>
  <si>
    <t>Accompagnement psychologique salariés</t>
  </si>
  <si>
    <t>Accompagnement psychologique stagiaires</t>
  </si>
  <si>
    <t>Accueil physique</t>
  </si>
  <si>
    <t>Accueil téléphonique</t>
  </si>
  <si>
    <t>Aciers inoxydables tous types</t>
  </si>
  <si>
    <t>Aciers laminés marchands tous types</t>
  </si>
  <si>
    <t>Aciers spéciaux</t>
  </si>
  <si>
    <t>Acquisition de licence de logiciel</t>
  </si>
  <si>
    <t>Acquisition de MAJ de logiciel</t>
  </si>
  <si>
    <t>Fournitures de soudage</t>
  </si>
  <si>
    <t>Acquisition de titres de restauration salariés</t>
  </si>
  <si>
    <t>Acquisition de titres de restauration stagiaires</t>
  </si>
  <si>
    <t>Adhésifs</t>
  </si>
  <si>
    <t>Adhésifs, colles, liens, cerclages et agrafes</t>
  </si>
  <si>
    <t>Affranchissement</t>
  </si>
  <si>
    <t>Affutage outils coupants</t>
  </si>
  <si>
    <t>Alimentations</t>
  </si>
  <si>
    <t>Alu Bronze laiton</t>
  </si>
  <si>
    <t>Analyses bactériologiques</t>
  </si>
  <si>
    <t>Annonces Internet, presse et radio</t>
  </si>
  <si>
    <t>Appareils de nettoyage</t>
  </si>
  <si>
    <t>Appareils électriques</t>
  </si>
  <si>
    <t>Appareils sanitaires</t>
  </si>
  <si>
    <t>Archivage</t>
  </si>
  <si>
    <t>Armatures standards (semelles chaînages poteaux etc)</t>
  </si>
  <si>
    <t>Aspirations des fumées</t>
  </si>
  <si>
    <t>Assistance à Maitrise d'ouvrage sur les sujets liés à l'immobilier</t>
  </si>
  <si>
    <t>Assurances de biens et de personnes</t>
  </si>
  <si>
    <t>Assurances de véhicules</t>
  </si>
  <si>
    <t>Audiovisuel (reportage, tournage, montage, prise de vues)</t>
  </si>
  <si>
    <t>Audits</t>
  </si>
  <si>
    <t>Bardages</t>
  </si>
  <si>
    <t>Bois en grumes et plots</t>
  </si>
  <si>
    <t>Boissons</t>
  </si>
  <si>
    <t>Boite Postale, garde et transfert du courrier</t>
  </si>
  <si>
    <t>Boites, caisses, palettes et sachets</t>
  </si>
  <si>
    <t>Boitiers électroniques</t>
  </si>
  <si>
    <t>Bordures pavés autoblocants</t>
  </si>
  <si>
    <t>Boulonnerie et rondelles</t>
  </si>
  <si>
    <t>Bouton Poignee</t>
  </si>
  <si>
    <t>Brides à souder courbes à souder etc</t>
  </si>
  <si>
    <t>Brosserie et disques pour les monobrosses</t>
  </si>
  <si>
    <t>Brosses</t>
  </si>
  <si>
    <t>Bus</t>
  </si>
  <si>
    <t>Câbles fils rallonges</t>
  </si>
  <si>
    <t>Service d'accueil</t>
  </si>
  <si>
    <t>Câbles pour réseau aéro-souterrains</t>
  </si>
  <si>
    <t>Câbles pour réseau Télécom</t>
  </si>
  <si>
    <t>Caisson Portes</t>
  </si>
  <si>
    <t>Calage et protection</t>
  </si>
  <si>
    <t>Camions-grues</t>
  </si>
  <si>
    <t>Campagne publicitaire</t>
  </si>
  <si>
    <t>Carburant domestique</t>
  </si>
  <si>
    <t>Service de gestion du personnel et des stagiaires</t>
  </si>
  <si>
    <t>Carburant engin de chantier</t>
  </si>
  <si>
    <t>Carrelages sols intérieur et extérieur</t>
  </si>
  <si>
    <t>Carte carburant</t>
  </si>
  <si>
    <t>Carte recharge électrique</t>
  </si>
  <si>
    <t>Centrale gaz</t>
  </si>
  <si>
    <t>Certifications</t>
  </si>
  <si>
    <t>Service de réparation et d'entretien de mobilier outillage et petits matériels</t>
  </si>
  <si>
    <t>Chalumeaux détendeurs et tuyaux</t>
  </si>
  <si>
    <t>Charges locatives liées aux terrains et immeubles</t>
  </si>
  <si>
    <t>Charniere Paumelle Plaque Amortisseur Compas</t>
  </si>
  <si>
    <t>Chassis automobile et PL</t>
  </si>
  <si>
    <t>Chauffage électrique (air ou eau)</t>
  </si>
  <si>
    <t>Chauffage urbain</t>
  </si>
  <si>
    <t>Chevilles et rivets</t>
  </si>
  <si>
    <t>Ciment mortier réagréage enduits et chaux</t>
  </si>
  <si>
    <t>Circuits imprimés</t>
  </si>
  <si>
    <t>Clés de serrage</t>
  </si>
  <si>
    <t>Clous agrafes et pitons</t>
  </si>
  <si>
    <t>Colisage</t>
  </si>
  <si>
    <t>Collecte et remise du courrier</t>
  </si>
  <si>
    <t>Services de documentation</t>
  </si>
  <si>
    <t>Colles diluants décapants et autres</t>
  </si>
  <si>
    <t>Colles et mastics</t>
  </si>
  <si>
    <t>Colliers de serrage</t>
  </si>
  <si>
    <t>Composants et accessoires pour les réseaux aéro-souterrain</t>
  </si>
  <si>
    <t>Composants et accessoires pour les réseaux Télécom</t>
  </si>
  <si>
    <t>Connecteurs</t>
  </si>
  <si>
    <t>Conseil en assurances</t>
  </si>
  <si>
    <t>Conseil en recrutement RH</t>
  </si>
  <si>
    <t>Conseil juridique</t>
  </si>
  <si>
    <t>Consommable jettable de cuisine</t>
  </si>
  <si>
    <t>Consommable SST</t>
  </si>
  <si>
    <t>Consommables chimie</t>
  </si>
  <si>
    <t>Consommables de banchage</t>
  </si>
  <si>
    <t>Consommables de l'horloger</t>
  </si>
  <si>
    <t>Consommables du plasturgiste</t>
  </si>
  <si>
    <t>Consommables informatiques</t>
  </si>
  <si>
    <t>Consommations de gaz industriels</t>
  </si>
  <si>
    <t>Contrôle</t>
  </si>
  <si>
    <t>Contrôle de machines</t>
  </si>
  <si>
    <t>Contrôle d'équipements rayonnants</t>
  </si>
  <si>
    <t>Contrôle des ambiances de travail, aération, ventilation</t>
  </si>
  <si>
    <t>Contrôle des appareils de levage et manutention</t>
  </si>
  <si>
    <t>Contrôle des ascenseurs et monte-charges</t>
  </si>
  <si>
    <t>Contrôle des dispositifs de protection incendie</t>
  </si>
  <si>
    <t>Contrôle des équipements de protection</t>
  </si>
  <si>
    <t>Contrôle des installations à énergie thermique</t>
  </si>
  <si>
    <t>Contrôle des Installations Classées pour la Protection de l'Environnement (ICPE)</t>
  </si>
  <si>
    <t>Contrôle des installations électriques et éclairage</t>
  </si>
  <si>
    <t>Contrôle des installations sous pression</t>
  </si>
  <si>
    <t>Contrôle des matèriels, engins et installations utilisés sur chantiers du BTP</t>
  </si>
  <si>
    <t>Contrôle des portes et portails</t>
  </si>
  <si>
    <t>Contrôle environnemental</t>
  </si>
  <si>
    <t>Contrôle technique automobile</t>
  </si>
  <si>
    <t>Co-traitance formation</t>
  </si>
  <si>
    <t>Coupeur plasma</t>
  </si>
  <si>
    <t>Crédit bail immobilier</t>
  </si>
  <si>
    <t>Cuir</t>
  </si>
  <si>
    <t>Cycle</t>
  </si>
  <si>
    <t>Décapant anti adhérents</t>
  </si>
  <si>
    <t>Déménagement industriel et d'archives</t>
  </si>
  <si>
    <t>Denrées alimentaires</t>
  </si>
  <si>
    <t>Diagnostics immobiliers (Amiante, Plomb, etc)</t>
  </si>
  <si>
    <t>Dispositif individuel de protection contre les chutes</t>
  </si>
  <si>
    <t>Dispositif individuel de protection contre les chutes amiante</t>
  </si>
  <si>
    <t>Distribution de Gaz</t>
  </si>
  <si>
    <t>Distribution d'eau potable</t>
  </si>
  <si>
    <t>Distribution d'électricité</t>
  </si>
  <si>
    <t>Droit de suivi de logiciel</t>
  </si>
  <si>
    <t>Droits d'auteurs</t>
  </si>
  <si>
    <t>Eclairages intérieurs et extérieurs</t>
  </si>
  <si>
    <t>Ecrans informatiques</t>
  </si>
  <si>
    <t>Elaboration préparation et distribution de repas</t>
  </si>
  <si>
    <t>Electrodes et fils</t>
  </si>
  <si>
    <t>Electroportatifs avec fil</t>
  </si>
  <si>
    <t>Electroportatifs sans fil</t>
  </si>
  <si>
    <t>Elimination et traitement des déchets</t>
  </si>
  <si>
    <t>Enduits colles et joints</t>
  </si>
  <si>
    <t>Enduits intérieurs et extérieurs</t>
  </si>
  <si>
    <t>Engins de chantier</t>
  </si>
  <si>
    <t>Enrobés</t>
  </si>
  <si>
    <t>Entretien et produits phytosanitaires</t>
  </si>
  <si>
    <t>Entretien et réparation charpente couverture</t>
  </si>
  <si>
    <t>Entretien et réparation installations électriques et réseaux</t>
  </si>
  <si>
    <t>Entretien et réparation installations gaz</t>
  </si>
  <si>
    <t>Entretien et réparation menuiserie extérieures</t>
  </si>
  <si>
    <t>Entretien et réparation peinture façades revetements</t>
  </si>
  <si>
    <t>Entretien et réparation plomberie sanitaire</t>
  </si>
  <si>
    <t>Entretien et réparation portes portails automatiques et dérivés</t>
  </si>
  <si>
    <t>Entretien et réparation VRD</t>
  </si>
  <si>
    <t>Entretien réparation serrurerie</t>
  </si>
  <si>
    <t>Equipement pour solier</t>
  </si>
  <si>
    <t>Equipements Bois Alu PVC</t>
  </si>
  <si>
    <t>Equipements chauffagiste et climatiseur</t>
  </si>
  <si>
    <t>Equipements chimie</t>
  </si>
  <si>
    <t>Equipements cuir et Textile</t>
  </si>
  <si>
    <t>Equipements de banchage</t>
  </si>
  <si>
    <t>Equipements de carreleur</t>
  </si>
  <si>
    <t>Equipements de chantier</t>
  </si>
  <si>
    <t>Equipements de cuisine collective</t>
  </si>
  <si>
    <t>Equipements de réseau informatique</t>
  </si>
  <si>
    <t>Equipements du Couvreur-zingueur</t>
  </si>
  <si>
    <t>Equipements électrique</t>
  </si>
  <si>
    <t>Equipements Monteur réseau</t>
  </si>
  <si>
    <t>Equipements pour Auto Moto Vélo PL</t>
  </si>
  <si>
    <t>Equipements pour la climatisation</t>
  </si>
  <si>
    <t>Equipements pour le chaud</t>
  </si>
  <si>
    <t>Equipements pour le froid</t>
  </si>
  <si>
    <t>Equipements pour le nautique</t>
  </si>
  <si>
    <t>Equipements pour peinture et revetement muraux</t>
  </si>
  <si>
    <t>Equipements pour plaquiste</t>
  </si>
  <si>
    <t>Equipements pour plasturgie</t>
  </si>
  <si>
    <t>Equipements travail des métaux</t>
  </si>
  <si>
    <t>Escabeaux échelles echaffaudages</t>
  </si>
  <si>
    <t>Etaux et appareils de serrage</t>
  </si>
  <si>
    <t>Etudes techniques</t>
  </si>
  <si>
    <t>Factotum</t>
  </si>
  <si>
    <t>Faïence</t>
  </si>
  <si>
    <t>Feuilles solins et faitages en Zinc</t>
  </si>
  <si>
    <t>Filières</t>
  </si>
  <si>
    <t>Films, paléttisation, étiquetage et marquage</t>
  </si>
  <si>
    <t>Fioul domestique</t>
  </si>
  <si>
    <t>Fixation Equerre Tourillon Ferrure Agraphe</t>
  </si>
  <si>
    <t>Fleurs, médailles et autres</t>
  </si>
  <si>
    <t>Fluides frigorigène</t>
  </si>
  <si>
    <t>Forêts</t>
  </si>
  <si>
    <t>Formation sous traitée avec paiement direct</t>
  </si>
  <si>
    <t>Formation sous traitée par auto-entrepreneur</t>
  </si>
  <si>
    <t>Formation sous traitée par entreprise de formation</t>
  </si>
  <si>
    <t>Fourniture et livraison de repas en liaison froide ou chaude</t>
  </si>
  <si>
    <t>Fourniture pour le SEDEX</t>
  </si>
  <si>
    <t>Fournitures aéronautiques</t>
  </si>
  <si>
    <t>Fournitures de bureau</t>
  </si>
  <si>
    <t>Fournitures nautiques</t>
  </si>
  <si>
    <t>Fournitures pour installation solaire</t>
  </si>
  <si>
    <t>Frais aux titres de certification</t>
  </si>
  <si>
    <t>Frais d'agrément pour la formation</t>
  </si>
  <si>
    <t>Fraises</t>
  </si>
  <si>
    <t>Goulottes fourreaux chemins de cables tubes et gaines</t>
  </si>
  <si>
    <t>Graisses et huiles</t>
  </si>
  <si>
    <t>Graviers et sables</t>
  </si>
  <si>
    <t>Honoraires architecte</t>
  </si>
  <si>
    <t>Honoraires Co-traitance</t>
  </si>
  <si>
    <t>Impression, reprographie et façonnage</t>
  </si>
  <si>
    <t>Imprimés Plaquettes et Brochures</t>
  </si>
  <si>
    <t>Isolants phoniques et thermiques</t>
  </si>
  <si>
    <t>ITE - Baguettes, Profilés, Armatures</t>
  </si>
  <si>
    <t>ITE - Enduits, Colles, Crépis</t>
  </si>
  <si>
    <t>ITE - Outillage spécifique pour l'ITE</t>
  </si>
  <si>
    <t>ITE - Peintures extérieures</t>
  </si>
  <si>
    <t>ITE - Plaques isolantes</t>
  </si>
  <si>
    <t>ITE - Polystyrène, Laine de roche, Fibres de bois</t>
  </si>
  <si>
    <t>ITE - Systhèmes de fixations</t>
  </si>
  <si>
    <t>Lambris tous types et accessoires</t>
  </si>
  <si>
    <t>Limes</t>
  </si>
  <si>
    <t>Location Bus</t>
  </si>
  <si>
    <t>Location camions-grues</t>
  </si>
  <si>
    <t>Location d'appareil d'hygiène</t>
  </si>
  <si>
    <t>Location de contenants</t>
  </si>
  <si>
    <t>Location de machines relatifs aux courriers</t>
  </si>
  <si>
    <t>Location de système d'impression</t>
  </si>
  <si>
    <t>Location de terrains et immeubles avec bail</t>
  </si>
  <si>
    <t>Location d'ordinateur et périphériques</t>
  </si>
  <si>
    <t>Location engins de chantier</t>
  </si>
  <si>
    <t>Location engins et equipement de chantier</t>
  </si>
  <si>
    <t>Location Equipement Emballage-Logistique</t>
  </si>
  <si>
    <t>Location équipements de soudage</t>
  </si>
  <si>
    <t>Location hébergement courte durée sans bail</t>
  </si>
  <si>
    <t>Location Machine agricole horticole</t>
  </si>
  <si>
    <t>Location porteur-tracteurs routiers</t>
  </si>
  <si>
    <t>Locations d'emballage de gaz</t>
  </si>
  <si>
    <t>Loqueteau Serrure Poussoir Cle Verrou</t>
  </si>
  <si>
    <t>Machines agricoles horticoles et petit équipement</t>
  </si>
  <si>
    <t>Maintenance de système d'impression</t>
  </si>
  <si>
    <t>Maintenance des véhicules en location longue durée</t>
  </si>
  <si>
    <t>Maintenance préventive charpente couverture</t>
  </si>
  <si>
    <t>Maintenance préventive et réparation ascenseurs, monte charges</t>
  </si>
  <si>
    <t>Maintenance préventive et réparation chauffage climatisation</t>
  </si>
  <si>
    <t>Maintenance préventive et réparation de matériels de chantier et TP</t>
  </si>
  <si>
    <t>Maintenance préventive et réparation de matériels de manutention industriels</t>
  </si>
  <si>
    <t>Maintenance préventive et réparation de moyens de transport</t>
  </si>
  <si>
    <t>Maintenance préventive et réparation des équipements de cuisine</t>
  </si>
  <si>
    <t>Maintenance préventive et réparation des hottes de cuisine</t>
  </si>
  <si>
    <t>Maintenance préventive et réparation des ventilations, extractions, VMC</t>
  </si>
  <si>
    <t>Maintenance préventive installations électriques et réseaux</t>
  </si>
  <si>
    <t>Maintenance préventive installations gaz</t>
  </si>
  <si>
    <t>Maintenance préventive menuiserie extérieures</t>
  </si>
  <si>
    <t>Maintenance préventive peinture façades revetements</t>
  </si>
  <si>
    <t>Maintenance préventive plomberie sanitaire</t>
  </si>
  <si>
    <t>Maintenance préventive portes portails automatiques et dérivés</t>
  </si>
  <si>
    <t>Maintenance préventive serrurerie</t>
  </si>
  <si>
    <t>Maintenance préventive VRD</t>
  </si>
  <si>
    <t>Marketing direct (sms, mailing, phoning)</t>
  </si>
  <si>
    <t>Marquage à frapper</t>
  </si>
  <si>
    <t>Marteau</t>
  </si>
  <si>
    <t>Matériels et fournitures pour alarme incendie</t>
  </si>
  <si>
    <t>Matériels et fournitures pour alarme intrusion</t>
  </si>
  <si>
    <t>Matériels et fournitures pour contrôle d'accès</t>
  </si>
  <si>
    <t>Matériels et fournitures pour vidéo-surveillance</t>
  </si>
  <si>
    <t>Matériels médical</t>
  </si>
  <si>
    <t>Médecine du travail et analyses médicales salariés</t>
  </si>
  <si>
    <t>Médecine du travail et analyses médicales stagiaires</t>
  </si>
  <si>
    <t>Menuiseries extérieures tous types</t>
  </si>
  <si>
    <t>MER Equipements Agricole et Horticole</t>
  </si>
  <si>
    <t>MER Equipements Auto Moto Vélo PL</t>
  </si>
  <si>
    <t>MER Equipements de la plasturgie</t>
  </si>
  <si>
    <t>MER Equipements de soudage</t>
  </si>
  <si>
    <t>MER Equipements Frigoriste</t>
  </si>
  <si>
    <t>MER Equipements Hotellerie Restauration Loisirs</t>
  </si>
  <si>
    <t>MER Equipements Maçonnerie VRD</t>
  </si>
  <si>
    <t>MER Equipements nautique et aéronautique</t>
  </si>
  <si>
    <t>Messagerie</t>
  </si>
  <si>
    <t>Mesure</t>
  </si>
  <si>
    <t>Métaux d'apport brasure et flux</t>
  </si>
  <si>
    <t>Métrologie</t>
  </si>
  <si>
    <t>Meubles et accessoires d'ameublement</t>
  </si>
  <si>
    <t>Meules et accessoires</t>
  </si>
  <si>
    <t>Meuleuses pneumatiques</t>
  </si>
  <si>
    <t>Mobilier de bureau et d'accueil</t>
  </si>
  <si>
    <t>Mobilier de restauration</t>
  </si>
  <si>
    <t>Mobilier d'hébergement</t>
  </si>
  <si>
    <t>Moto</t>
  </si>
  <si>
    <t>Moulures et plinthes</t>
  </si>
  <si>
    <t>Nettoyants et dégripants</t>
  </si>
  <si>
    <t>Ordinateur tablettes informatiques</t>
  </si>
  <si>
    <t>Ordinateurs fixes</t>
  </si>
  <si>
    <t>Ordinateurs portables</t>
  </si>
  <si>
    <t>Outillage pour les tubes</t>
  </si>
  <si>
    <t>Outillages pour aéronautiques</t>
  </si>
  <si>
    <t>Outillages pour Cycle</t>
  </si>
  <si>
    <t>Outillages pour Moto</t>
  </si>
  <si>
    <t>Outillages pour nautiques</t>
  </si>
  <si>
    <t>Outillages spécifiques aux Monteurs de réseaux</t>
  </si>
  <si>
    <t>Outillages spécifiques aux Monteurs de réseaux Télécom</t>
  </si>
  <si>
    <t>Outillages spécifiques peintres décorateurs</t>
  </si>
  <si>
    <t>Outils chauffagiste climatiseur</t>
  </si>
  <si>
    <t>Outils de l'horloger</t>
  </si>
  <si>
    <t>Outils de polissage</t>
  </si>
  <si>
    <t>Outils de tournage</t>
  </si>
  <si>
    <t>Outils du couvreur-zingueur</t>
  </si>
  <si>
    <t>Outils du plasturgiste</t>
  </si>
  <si>
    <t>Outils et accessoires pour le Cuir</t>
  </si>
  <si>
    <t>Outils et accessoires pour le Textile</t>
  </si>
  <si>
    <t>Outils pour le carreleur</t>
  </si>
  <si>
    <t>Outils pour le frigoriste</t>
  </si>
  <si>
    <t>Outils pour le maçon</t>
  </si>
  <si>
    <t>Outils pour le mécanicien auto et PL</t>
  </si>
  <si>
    <t>Outils pour le menuisier</t>
  </si>
  <si>
    <t>Outils pour le peintre</t>
  </si>
  <si>
    <t>Outils pour le plaquiste</t>
  </si>
  <si>
    <t>Outils pour le solier</t>
  </si>
  <si>
    <t>Outils pour le soudeur</t>
  </si>
  <si>
    <t>Outils pour l'électricien</t>
  </si>
  <si>
    <t>Outils pour l'électronicien et matériels pour la mesure</t>
  </si>
  <si>
    <t>Outils pour l'horticulteur</t>
  </si>
  <si>
    <t>Panneaux et dalles de plancher</t>
  </si>
  <si>
    <t>Panneaux et signalétique</t>
  </si>
  <si>
    <t>Panneaux et signalétique amiante</t>
  </si>
  <si>
    <t>Papier offset et reprographie</t>
  </si>
  <si>
    <t>Parpaing bêton cellulaire et brique</t>
  </si>
  <si>
    <t>Partenariat</t>
  </si>
  <si>
    <t>Passe Cable Poubelle</t>
  </si>
  <si>
    <t>Passifs</t>
  </si>
  <si>
    <t>Péage</t>
  </si>
  <si>
    <t>Peinture automobile et PL</t>
  </si>
  <si>
    <t>Peintures et vernis pour le bois</t>
  </si>
  <si>
    <t>Peintures extérieures et colorants</t>
  </si>
  <si>
    <t>Peintures intérieures et colorants</t>
  </si>
  <si>
    <t>Peintures pour peintres décorateurs</t>
  </si>
  <si>
    <t>Peintures pour supports spéciaux</t>
  </si>
  <si>
    <t>Perceuses pneumatiques</t>
  </si>
  <si>
    <t>Petit électroménager</t>
  </si>
  <si>
    <t>Petit matériel de bureau</t>
  </si>
  <si>
    <t>Petit matériel de chimie</t>
  </si>
  <si>
    <t>Petits matériels de restauration</t>
  </si>
  <si>
    <t>Photographie et banque d'images</t>
  </si>
  <si>
    <t>Pièces détachées pour Equipement Bois Alu PVC</t>
  </si>
  <si>
    <t>Pièces pour engins de chantier</t>
  </si>
  <si>
    <t>Pieds Roulette Sabot Compensateur Patin</t>
  </si>
  <si>
    <t>Pierres</t>
  </si>
  <si>
    <t>Piles batteries et chargeurs</t>
  </si>
  <si>
    <t>Pinces et cisailles</t>
  </si>
  <si>
    <t>Planches de coffrage accessoires et bastaings</t>
  </si>
  <si>
    <t>Plans de travail crédences et accessoires</t>
  </si>
  <si>
    <t>Plantes semis et végétaux</t>
  </si>
  <si>
    <t>Plaques de couverture</t>
  </si>
  <si>
    <t>Plaques de platre et accessoires liés</t>
  </si>
  <si>
    <t>Plaquette carbure</t>
  </si>
  <si>
    <t>Platres et mortiers adhésifs</t>
  </si>
  <si>
    <t>Ponçeuses pneumatiques</t>
  </si>
  <si>
    <t>Porteurs routiers</t>
  </si>
  <si>
    <t>Postes à souder</t>
  </si>
  <si>
    <t>Poubelles et conteneurs</t>
  </si>
  <si>
    <t>Prestation de bureau d'étude technique</t>
  </si>
  <si>
    <t>Prestation de Coordination de la Sécurité et de Protection de la Santé</t>
  </si>
  <si>
    <t>Prestation de Coordination en Système de Sécurité Incendie</t>
  </si>
  <si>
    <t>Prestation de coursier</t>
  </si>
  <si>
    <t>Prestation de création de contenu e-learning</t>
  </si>
  <si>
    <t>Prestation de services de formation par auto entrepreneurs</t>
  </si>
  <si>
    <t>Prestation de services de formation par entreprise de formation</t>
  </si>
  <si>
    <t>Prestations de contrôle de construction</t>
  </si>
  <si>
    <t>Produits de balisage</t>
  </si>
  <si>
    <t>Produits de balisage amiante</t>
  </si>
  <si>
    <t>Produits d'essuyage</t>
  </si>
  <si>
    <t>Profilés creux</t>
  </si>
  <si>
    <t>Protection de la tête</t>
  </si>
  <si>
    <t>Protection des mains et des avant-bras</t>
  </si>
  <si>
    <t>Protection des mains et des avant-bras amiante</t>
  </si>
  <si>
    <t>Protection des pieds et des jambes</t>
  </si>
  <si>
    <t>Protection des pieds et des jambes amiante</t>
  </si>
  <si>
    <t>Protection des voies respiratoires</t>
  </si>
  <si>
    <t>Protection des voies respiratoires amiante</t>
  </si>
  <si>
    <t>Protections électroniques antistatiques</t>
  </si>
  <si>
    <t>Radiateurs et robinetterie associée</t>
  </si>
  <si>
    <t>Relais Interrupteurs et indicateurs</t>
  </si>
  <si>
    <t>Répartis sur Mobilier Hebergment et Mobilier restau</t>
  </si>
  <si>
    <t>Représentation légale</t>
  </si>
  <si>
    <t>Ressources documentaires (livres, ouvrages spécialisés)</t>
  </si>
  <si>
    <t>Revêtements de sols parquets</t>
  </si>
  <si>
    <t>Revêtements de sols PVC</t>
  </si>
  <si>
    <t>Revêtements de sols stratifiés</t>
  </si>
  <si>
    <t>Revêtements de sols textiles</t>
  </si>
  <si>
    <t>Revêtements muraux</t>
  </si>
  <si>
    <t>Rideaux et écrans de soudage</t>
  </si>
  <si>
    <t>Robinetterie industrielle et du bâtiment</t>
  </si>
  <si>
    <t>Robinetterie sanitaire</t>
  </si>
  <si>
    <t>Ronds à bêton lisses et canelés</t>
  </si>
  <si>
    <t>Savons et détergents</t>
  </si>
  <si>
    <t>Scie et Lame de scie</t>
  </si>
  <si>
    <t>Sécurité humaine (gardiennage dynamique - rondes)</t>
  </si>
  <si>
    <t>Sécurité humaine (gardiennage posté)</t>
  </si>
  <si>
    <t>Serveur</t>
  </si>
  <si>
    <t>Service d'acquisition d'enquêtes ou d'études de marché</t>
  </si>
  <si>
    <t>Service d'assistance et de conception dans le domaine de l'ingénierie</t>
  </si>
  <si>
    <t>Service d'audit et de conseil en ressources humaines</t>
  </si>
  <si>
    <t>Service de commerce à des fins pédagogique</t>
  </si>
  <si>
    <t>Service de conseil et audit sur les matériels et infrastructures</t>
  </si>
  <si>
    <t>Service de maintenance en contrat multitechnique</t>
  </si>
  <si>
    <t>Service de nettoyage de bâtiments</t>
  </si>
  <si>
    <t>Service de nettoyage de bâtiments après sinistre</t>
  </si>
  <si>
    <t>Service de Traiteurs</t>
  </si>
  <si>
    <t>Service d'hôtellerie (stagiaires ou groupes)</t>
  </si>
  <si>
    <t>Services culturels</t>
  </si>
  <si>
    <t>Services d'accès Internet</t>
  </si>
  <si>
    <t>Services d'aide aux utilisateurs et services d'assistance</t>
  </si>
  <si>
    <t>Services d'aide pédagogique (Accompagnement, coaching, ERE)</t>
  </si>
  <si>
    <t>Services d'assistance relative aux systèmes</t>
  </si>
  <si>
    <t>Services d'audits comptables et financiers - CAC</t>
  </si>
  <si>
    <t>Services de blanchisserie et de nettoyage à sec</t>
  </si>
  <si>
    <t>Services de comptabilité</t>
  </si>
  <si>
    <t>Services de conseil en gestion générale.</t>
  </si>
  <si>
    <t>Services de conseil et d'audit en systèmes informatiques et télécommunication</t>
  </si>
  <si>
    <t>Services de divertissements</t>
  </si>
  <si>
    <t>Services de fourniture et d'installation d'alarmes</t>
  </si>
  <si>
    <t>Services de gestion de biens</t>
  </si>
  <si>
    <t>Services de maintenance en contrat multiservices</t>
  </si>
  <si>
    <t>Services de maintenance et déploiement du matériel informatique</t>
  </si>
  <si>
    <t>Services de maintenance réseau et télécom</t>
  </si>
  <si>
    <t>Services de mise à disposition de personnel ESAT, EA ou ESS</t>
  </si>
  <si>
    <t>Services de mise à disposition de personnel y compris de personnel temporaire</t>
  </si>
  <si>
    <t>Services de portage salarial</t>
  </si>
  <si>
    <t>Services de préparation et déploiement de matériels</t>
  </si>
  <si>
    <t>Services de programmation et développement de progiciels</t>
  </si>
  <si>
    <t>Services de réalisation d'enquêtes ou d'études de marché</t>
  </si>
  <si>
    <t>Services de recrutement stagiaires</t>
  </si>
  <si>
    <t>Services de restauration externe (en l'absence de restaurant sur place)</t>
  </si>
  <si>
    <t>Services de surveillance d'installation d'alarmes (abonnement)</t>
  </si>
  <si>
    <t>Services de téléphonie filaire</t>
  </si>
  <si>
    <t>Services de téléphonie mobile</t>
  </si>
  <si>
    <t>Services de traitement effluents (fosses septiques, bacs à graisse etc)</t>
  </si>
  <si>
    <t>Services d'éducation</t>
  </si>
  <si>
    <t>Services d'évaluation du personnel</t>
  </si>
  <si>
    <t>Services d'hébergement et d'exploitation de serveurs informatiques</t>
  </si>
  <si>
    <t>Services d'infogérance du Cloud</t>
  </si>
  <si>
    <t>Services d'infographie</t>
  </si>
  <si>
    <t>Services sportifs</t>
  </si>
  <si>
    <t>Software as a service (SAAS)</t>
  </si>
  <si>
    <t>Soudure étain et argent</t>
  </si>
  <si>
    <t>Spécifique flamme</t>
  </si>
  <si>
    <t>Support de formation Sécurité</t>
  </si>
  <si>
    <t>Support et droit utilisation e-learning</t>
  </si>
  <si>
    <t>Support logiciel</t>
  </si>
  <si>
    <t>Supports pour canalisation tous types</t>
  </si>
  <si>
    <t>Système de distribution de boissons et friandises</t>
  </si>
  <si>
    <t>Systèmes de motorisation des portes et portails</t>
  </si>
  <si>
    <t>Tableaux électriques et composants du tableau</t>
  </si>
  <si>
    <t>Tarauds</t>
  </si>
  <si>
    <t>Targette étain </t>
  </si>
  <si>
    <t>Tasseaux planches madriers et poutres</t>
  </si>
  <si>
    <t>Télédiffusion et radiodiffusion</t>
  </si>
  <si>
    <t>Téléphone mobile (terminaux)</t>
  </si>
  <si>
    <t>Textile</t>
  </si>
  <si>
    <t>Tierce maintenance applicative</t>
  </si>
  <si>
    <t>Tiroir Coulisse Glissiere</t>
  </si>
  <si>
    <t>Toles aciers à froid et à chaud sauf inox</t>
  </si>
  <si>
    <t>Torches de soudage et accessoires</t>
  </si>
  <si>
    <t>Torches plasma et accessoires</t>
  </si>
  <si>
    <t>Tournevis</t>
  </si>
  <si>
    <t>Tracteurs routiers</t>
  </si>
  <si>
    <t>Traitement de l'eau</t>
  </si>
  <si>
    <t>Transfert de personnes (autocariste)</t>
  </si>
  <si>
    <t>Transformateurs</t>
  </si>
  <si>
    <t>Travaux d'ascenseurs</t>
  </si>
  <si>
    <t>Travaux de charpente</t>
  </si>
  <si>
    <t>Travaux de chaufferie centrale</t>
  </si>
  <si>
    <t>Travaux de cloisons intérieures</t>
  </si>
  <si>
    <t>Travaux de clôtures et portails</t>
  </si>
  <si>
    <t>Travaux de courant faible (alarme et informatique)</t>
  </si>
  <si>
    <t>Travaux de démolition extérieur et désamiantage</t>
  </si>
  <si>
    <t>Travaux de démolition intérieur et désamiantage</t>
  </si>
  <si>
    <t>Travaux de distribution de chauffage</t>
  </si>
  <si>
    <t>Travaux de distribution de gaz</t>
  </si>
  <si>
    <t>Travaux de distribution d'eau</t>
  </si>
  <si>
    <t>Travaux de distribution electricité</t>
  </si>
  <si>
    <t>Travaux de gros oeuvre terrassement</t>
  </si>
  <si>
    <t>Travaux de maçonnerie AI/AF</t>
  </si>
  <si>
    <t>Travaux de menuiseries extérieures</t>
  </si>
  <si>
    <t>Travaux de menuiseries intérieures</t>
  </si>
  <si>
    <t>Travaux de peintures intérieures</t>
  </si>
  <si>
    <t>Travaux de plafonds</t>
  </si>
  <si>
    <t>Travaux de plomberie et sanitaire</t>
  </si>
  <si>
    <t>Travaux de serrurerie</t>
  </si>
  <si>
    <t>Travaux de sols</t>
  </si>
  <si>
    <t>Travaux de toiture</t>
  </si>
  <si>
    <t>Travaux de transformateur TGBT</t>
  </si>
  <si>
    <t>Travaux de ventilation</t>
  </si>
  <si>
    <t>Travaux de voies parkings</t>
  </si>
  <si>
    <t>Travaux d'éclairage extérieur</t>
  </si>
  <si>
    <t>Travaux d'électricité courant faible</t>
  </si>
  <si>
    <t>Travaux d'électricité courant fort</t>
  </si>
  <si>
    <t>Travaux d'energie chauffage</t>
  </si>
  <si>
    <t>Travaux d'espaces verts</t>
  </si>
  <si>
    <t>Travaux d'évacuation des eaux usées et pluviales</t>
  </si>
  <si>
    <t>Treillis soudés</t>
  </si>
  <si>
    <t>Tubes aciers construction</t>
  </si>
  <si>
    <t>Tubes aciers soudés tubes S/S tubes pétrole</t>
  </si>
  <si>
    <t>Tubes canalisation raccords et accessoires pour l'acier</t>
  </si>
  <si>
    <t>Tubes canalisation raccords et accessoires pour le cuivre</t>
  </si>
  <si>
    <t>Tubes canalisation raccords et accessoires pour le PER et multicouche</t>
  </si>
  <si>
    <t>Tubes canalisation raccords et accessoires pour le PVC</t>
  </si>
  <si>
    <t>Tubes canalisations raccords et accessoires pour la fonte</t>
  </si>
  <si>
    <t>Tubes, canalisation, raccords et accessoires pour le frigoriste</t>
  </si>
  <si>
    <t>Tuiles et ardoises</t>
  </si>
  <si>
    <t>Tuyaux enterrés</t>
  </si>
  <si>
    <t>Valises servantes et boîtes à outils</t>
  </si>
  <si>
    <t>Véhicules d'occasion</t>
  </si>
  <si>
    <t>Véhicules en LCD</t>
  </si>
  <si>
    <t>Véhicules en location longue durée</t>
  </si>
  <si>
    <t>Vêtements de protection</t>
  </si>
  <si>
    <t>Vêtements de protection amiante</t>
  </si>
  <si>
    <t>Visserie</t>
  </si>
  <si>
    <t>Vitres et verrerie pour le menuisier</t>
  </si>
  <si>
    <t>Famille</t>
  </si>
  <si>
    <t>Sous-famille</t>
  </si>
  <si>
    <t>Montant commandé (K€)</t>
  </si>
  <si>
    <t>La sous-famille « Services de formation stagiaire » constitue un segment stratégique du portefeuille, avec 16 K€ de dépenses en 2025, soit un niveau globalement stable par rapport à 2024. Compte tenu de son poids prépondérant, elle justifie une gestion prioritaire afin de sécuriser les achats et d’en améliorer la performance. D’abord, l’évolution des sous-catégories de sous-traitance met en évidence une transformation des pratiques d’achat. Les dépenses de prestations de services de formation confiées aux auto-entrepreneurs et aux entreprises de formation basculent davantage vers la catégorie prestations sous-traitées, avec une hausse de +248 % en paiement direct et de +21,2 % pour les entreprises de formation. Cette évolution traduit les effets positifs du travail mené par la Direction nationale des achats, notamment à travers la formation des acheteurs territoriaux aux consultations simples sur FINA, la normalisation des DCE et la sécurisation des contrats de sous-traitance. Ensuite, l’analyse des dépenses régionales doit être retraitée pour neutraliser certains marchés spécifiques, notamment Parcours Emploi Santé, enregistré principalement dans la catégorie formation sous-traitée par organisme de formation, alors qu’il aurait dû être imputé sur la catégorie service d’aide pédagogique (accompagnement, coaching, ERE). Après correction, les trois principales régions contributrices sont l’Île-de-France (3,3 K€), les Pays de la Loire (1,9 K€) et Auvergne-Rhône-Alpes (1,6 K€). Par ailleurs, la forte progression des régularisations observée en Centre-Val de Loire, Grand Est, Île-de-France, Nouvelle-Aquitaine, PACA et au Siège révèle des difficultés de planification des consultations et de contractualisation en amont. L’analyse met également en évidence des erreurs d’imputation récurrentes portant sur les libellés (règles de nommages non respectés), les sous-familles (prestations de comédiens, Promo 16-18, contrat d’apprentissage…) et les GRN (901, 910…), qui nuisent à la fiabilité de la lecture des dépenses et imposent un retraitement des données sources. Enfin, les délais de validation des notes d’opportunité allongent les calendriers de lancement des consultations MAPA et conduisent certaines régions à recourir à des contrats de sous-traitance avec des dépassements des seuils applicables. Plan d’actions : 1.	Renforcer le rappel aux régions sur les règles de nommage, d’imputation et de rattachement aux bonnes sous-familles d’achat et catégories d’achat. 2.	Mettre en place une analyse trimestrielle des dépenses par région afin d’identifier les besoins récurrents, d’anticiper les consultations et de sécuriser le recours aux MAPA. 3.	Prioriser le lancement des MAPA régionaux dans les régions où la couverture contractuelle est insuffisante, notamment lorsque l’ensemble des contrats issus des précédents MAPA est arrivé à échéance entre 2024 et 2025. Dans ces situations, les régions poursuivent les achats via des contrats de sous-traitance conclus à l’issue des négociations FINA, avec un risque de dépassement des seuils contractuels. 4.	Traiter en priorité les régions à plus fort enjeu, en particulier l’Île-de-France, qui représente 20,2 % des dépenses nationales, afin de sécuriser rapidement les achats sur le périmètre le plus exposé.</t>
  </si>
  <si>
    <t xml:space="preserve">Prestations - Centre d'appel </t>
  </si>
  <si>
    <t>test laurent</t>
  </si>
  <si>
    <t>ROTURIER Laurent</t>
  </si>
  <si>
    <t>Achat Innovant (veille technique - maîtrise marché fournisseurs)</t>
  </si>
  <si>
    <t>Prestations - Service d'accueil</t>
  </si>
  <si>
    <t xml:space="preserve">Service d'accueil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</si>
</sst>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 fontId="0" fillId="0" borderId="0" xfId="0" applyNumberFormat="1"/>
    <xf numFmtId="49" fontId="0" fillId="0" borderId="0" xfId="0" applyNumberFormat="1"/>
    <xf numFmtId="14" fontId="0" fillId="0" borderId="0" xfId="0" applyNumberFormat="1"/>
    <xf numFmtId="0" fontId="0" fillId="0" borderId="0" xfId="0" applyAlignment="1">
      <alignment wrapText="1"/>
    </xf>
    <xf numFmtId="3" fontId="0" fillId="0" borderId="0" xfId="0" applyNumberFormat="1"/>
    <xf numFmtId="49" fontId="0" fillId="33" borderId="10" xfId="0" applyNumberFormat="1" applyFill="1" applyBorder="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5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3" formatCode="#,##0"/>
    </dxf>
    <dxf>
      <numFmt numFmtId="3" formatCode="#,##0"/>
    </dxf>
    <dxf>
      <numFmt numFmtId="30" formatCode="@"/>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dd/mm/yyyy"/>
    </dxf>
    <dxf>
      <numFmt numFmtId="30" formatCode="@"/>
      <alignment horizontal="general" vertical="bottom" textRotation="0" wrapText="0" indent="0" justifyLastLine="0" shrinkToFit="0" readingOrder="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18)" backgroundRefresh="0" connectionId="1" xr16:uid="{B149289C-08BE-4CF7-9AE6-46D000A97113}" autoFormatId="16" applyNumberFormats="0" applyBorderFormats="0" applyFontFormats="0" applyPatternFormats="0" applyAlignmentFormats="0" applyWidthHeightFormats="0">
  <queryTableRefresh nextId="47" unboundColumnsRight="1">
    <queryTableFields count="46">
      <queryTableField id="43" name="ID" tableColumnId="1"/>
      <queryTableField id="1" name="Titre" tableColumnId="2"/>
      <queryTableField id="2" name="Date de l'Analyse" tableColumnId="3"/>
      <queryTableField id="4" name="Famille d'achat" tableColumnId="4"/>
      <queryTableField id="3" name="Segment" tableColumnId="5"/>
      <queryTableField id="36" name="Acheteur" tableColumnId="6"/>
      <queryTableField id="5" name="Sous famille" tableColumnId="7"/>
      <queryTableField id="6" name="Difficulté d’homologation venant des clients" tableColumnId="8"/>
      <queryTableField id="7" name="Diversité des outillages requis" tableColumnId="9"/>
      <queryTableField id="8" name="Dossier technique incomplet" tableColumnId="10"/>
      <queryTableField id="9" name="Qualité demandée inhabituelle sur le marché" tableColumnId="11"/>
      <queryTableField id="10" name="Services techniques peu ouverts aux produits de substitution" tableColumnId="12"/>
      <queryTableField id="11" name="Connaissance tardive des besoins" tableColumnId="13"/>
      <queryTableField id="12" name="Fournisseur imposé" tableColumnId="14"/>
      <queryTableField id="13" name="Limites géographiques imposées en interne" tableColumnId="15"/>
      <queryTableField id="14" name="Lourdeurs Administratives" tableColumnId="16"/>
      <queryTableField id="15" name="Manque de communication interne" tableColumnId="17"/>
      <queryTableField id="16" name="Dépendance fournisseur" tableColumnId="18"/>
      <queryTableField id="17" name="Non-conformité réglementaire" tableColumnId="19"/>
      <queryTableField id="18" name="Problèmes de qualité" tableColumnId="20"/>
      <queryTableField id="19" name="Rupture d’approvisionnement" tableColumnId="21"/>
      <queryTableField id="20" name="Manque de transparence fournisseur" tableColumnId="22"/>
      <queryTableField id="21" name="Risque de dépendance technologique" tableColumnId="23"/>
      <queryTableField id="22" name="Insatisfaction des clients internes" tableColumnId="24"/>
      <queryTableField id="23" name="Variabilité des coûts" tableColumnId="25"/>
      <queryTableField id="24" name="Renforcement de la chaîne d’approvisionnement" tableColumnId="26"/>
      <queryTableField id="25" name="Optimisation des coûts" tableColumnId="27"/>
      <queryTableField id="26" name="Innovation fournisseur" tableColumnId="28"/>
      <queryTableField id="27" name="Réduction des délais de livraison" tableColumnId="29"/>
      <queryTableField id="28" name="Meilleure maîtrise des risque" tableColumnId="30"/>
      <queryTableField id="29" name="Amélioration des relations fournisseurs" tableColumnId="31"/>
      <queryTableField id="30" name="Automatisation et digitalisation" tableColumnId="32"/>
      <queryTableField id="31" name="Amélioration de l’image RSE" tableColumnId="33"/>
      <queryTableField id="32" name="Couverture contractuelle" tableColumnId="34"/>
      <queryTableField id="33" name="Plan d'action" tableColumnId="35"/>
      <queryTableField id="34" name="Programmation" tableColumnId="36"/>
      <queryTableField id="35" name="Levier Achat" tableColumnId="37"/>
      <queryTableField id="37" name="Total_Opportun" tableColumnId="38"/>
      <queryTableField id="38" name="Total_Risques" tableColumnId="39"/>
      <queryTableField id="39" name="Total_CIT" tableColumnId="40"/>
      <queryTableField id="40" name="Total_CIC" tableColumnId="41"/>
      <queryTableField id="41" name="Total_CET" tableColumnId="42"/>
      <queryTableField id="42" name="Total_CEC" tableColumnId="43"/>
      <queryTableField id="45" name="Type d'élément" tableColumnId="44"/>
      <queryTableField id="44" name="Chemin d'accès" tableColumnId="45"/>
      <queryTableField id="46" dataBound="0" tableColumnId="4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DE7031-7CA5-477E-B4E1-A86AB329F1B8}" name="Tableau_query__18" displayName="Tableau_query__18" ref="A1:AT133" tableType="queryTable" totalsRowShown="0">
  <autoFilter ref="A1:AT133" xr:uid="{E1DE7031-7CA5-477E-B4E1-A86AB329F1B8}">
    <filterColumn colId="5">
      <filters>
        <filter val="Lauriane MALARD"/>
        <filter val="Nathalie CORMIER"/>
      </filters>
    </filterColumn>
  </autoFilter>
  <tableColumns count="46">
    <tableColumn id="1" xr3:uid="{01A0DEE7-B4E3-467D-9DEE-ED0286306E94}" uniqueName="ID" name="ID" queryTableFieldId="43" dataDxfId="50"/>
    <tableColumn id="2" xr3:uid="{10643306-BBD7-4BBF-B34B-404453170FB5}" uniqueName="Title" name="Titre" queryTableFieldId="1" dataDxfId="49"/>
    <tableColumn id="3" xr3:uid="{2409996F-56E7-4C63-A569-1EC17ACE3763}" uniqueName="DatedelAnalyse" name="Date de l'Analyse" queryTableFieldId="2" dataDxfId="48"/>
    <tableColumn id="4" xr3:uid="{9C223C7F-0215-4A49-A196-EA7B0009630E}" uniqueName="Familledachat" name="Famille d'achat" queryTableFieldId="4" dataDxfId="47"/>
    <tableColumn id="5" xr3:uid="{B36CBF5F-7DCA-4657-80E1-D67C9921A9C0}" uniqueName="Segment" name="Segment" queryTableFieldId="3" dataDxfId="46"/>
    <tableColumn id="6" xr3:uid="{8F06F146-CC09-45AD-8922-CD075F8FDC9F}" uniqueName="Acheteur" name="Acheteur" queryTableFieldId="36" dataDxfId="45"/>
    <tableColumn id="7" xr3:uid="{9A46897F-0D27-4E19-95FD-A820E4C47D3B}" uniqueName="Sousfamille" name="Sous famille" queryTableFieldId="5" dataDxfId="44"/>
    <tableColumn id="8" xr3:uid="{A1270FDB-9ED3-4059-BBB6-14517C082CBA}" uniqueName="Difficult_x005f_x00e9_d_x005f_x2019_homologa" name="Difficulté d’homologation venant des clients" queryTableFieldId="6" dataDxfId="43"/>
    <tableColumn id="9" xr3:uid="{E5D67821-787B-448E-81E6-00A4B23F34EE}" uniqueName="Diversit_x005f_x00e9_desoutillagesrequ" name="Diversité des outillages requis" queryTableFieldId="7" dataDxfId="42"/>
    <tableColumn id="10" xr3:uid="{374A09FB-31CF-4D95-8927-E0A49EBA373E}" uniqueName="Dossiertechniqueincomplet" name="Dossier technique incomplet" queryTableFieldId="8" dataDxfId="41"/>
    <tableColumn id="11" xr3:uid="{B071EC10-7F87-49A0-90B5-6F863D04DEA9}" uniqueName="Qualit_x005f_x00e9_demand_x005f_x00e9_einhab" name="Qualité demandée inhabituelle sur le marché" queryTableFieldId="9" dataDxfId="40"/>
    <tableColumn id="12" xr3:uid="{5AC4B594-1688-4C5F-B7A6-89080B36E543}" uniqueName="Servicestechniquespeuouvertsauxp" name="Services techniques peu ouverts aux produits de substitution" queryTableFieldId="10" dataDxfId="39"/>
    <tableColumn id="13" xr3:uid="{553E55DD-7861-4AFB-82CE-F2D1A99E4D9D}" uniqueName="Connaissancetardivedesbesoins" name="Connaissance tardive des besoins" queryTableFieldId="11" dataDxfId="38"/>
    <tableColumn id="14" xr3:uid="{B2C4F66F-3966-47E3-A7D2-50E6855779B6}" uniqueName="Fournisseurimpos_x005f_x00e9_" name="Fournisseur imposé" queryTableFieldId="12" dataDxfId="37"/>
    <tableColumn id="15" xr3:uid="{2AC1C956-0AA3-4139-98AA-0D58C483216E}" uniqueName="Limitesg_x005f_x00e9_ographiquesimpos_" name="Limites géographiques imposées en interne" queryTableFieldId="13" dataDxfId="36"/>
    <tableColumn id="16" xr3:uid="{C3FD6DA2-85FC-49FD-A150-C16DF3498D4B}" uniqueName="LourdeursAdministratives" name="Lourdeurs Administratives" queryTableFieldId="14" dataDxfId="35"/>
    <tableColumn id="17" xr3:uid="{83206F61-FA97-4AC9-8F7B-780819361250}" uniqueName="Manquedecommunicationinterne" name="Manque de communication interne" queryTableFieldId="15" dataDxfId="34"/>
    <tableColumn id="18" xr3:uid="{7D5DC795-14DA-49CB-92C3-ACB0A266569D}" uniqueName="D_x005f_x00e9_pendancefournisseur" name="Dépendance fournisseur" queryTableFieldId="16" dataDxfId="33"/>
    <tableColumn id="19" xr3:uid="{024ED696-C066-431F-82EE-43B52D3D4ADA}" uniqueName="Non_x005f_x002d_conformit_x005f_x00e9_r_x00e" name="Non-conformité réglementaire" queryTableFieldId="17" dataDxfId="32"/>
    <tableColumn id="20" xr3:uid="{D3D656B3-6B10-4891-8279-2AA5C44694E6}" uniqueName="Probl_x005f_x00e8_mesdequalit_x005f_x00e9_" name="Problèmes de qualité" queryTableFieldId="18" dataDxfId="31"/>
    <tableColumn id="21" xr3:uid="{CE39885C-5E47-4F51-BC3B-A9343394527F}" uniqueName="Ruptured_x005f_x2019_approvisionnement" name="Rupture d’approvisionnement" queryTableFieldId="19" dataDxfId="30"/>
    <tableColumn id="22" xr3:uid="{380E3941-622F-4D8F-938C-FCA12B0B0EA5}" uniqueName="Manquedetransparencefournisseur" name="Manque de transparence fournisseur" queryTableFieldId="20" dataDxfId="29"/>
    <tableColumn id="23" xr3:uid="{B803EC28-5BD9-46D3-A4CF-E3C92B7DFD84}" uniqueName="Risqueded_x005f_x00e9_pendancetechnolo" name="Risque de dépendance technologique" queryTableFieldId="21" dataDxfId="28"/>
    <tableColumn id="24" xr3:uid="{E15970F8-4D8E-4AD9-A262-1635FDA67FE7}" uniqueName="Insatisfactiondesclientsinternes" name="Insatisfaction des clients internes" queryTableFieldId="22" dataDxfId="27"/>
    <tableColumn id="25" xr3:uid="{59FEB0C2-FA32-44FB-A817-994C96A735F5}" uniqueName="Variabilit_x005f_x00e9_desco_x005f_x00fb_ts" name="Variabilité des coûts" queryTableFieldId="23" dataDxfId="26"/>
    <tableColumn id="26" xr3:uid="{6E7807E5-BAF4-494F-B072-6AE343247B2C}" uniqueName="Renforcementdelacha_x005f_x00ee_ned_x2" name="Renforcement de la chaîne d’approvisionnement" queryTableFieldId="24" dataDxfId="25"/>
    <tableColumn id="27" xr3:uid="{66CFDDCF-3FA1-4544-AA7F-F26A7EA1BEB7}" uniqueName="Optimisationdesco_x005f_x00fb_ts" name="Optimisation des coûts" queryTableFieldId="25" dataDxfId="24"/>
    <tableColumn id="28" xr3:uid="{4AFB236A-2312-4F3B-9D40-B2CE8EB6BFC6}" uniqueName="Innovationfournisseur" name="Innovation fournisseur" queryTableFieldId="26" dataDxfId="23"/>
    <tableColumn id="29" xr3:uid="{DF5AFC13-D234-4BA6-8E11-307BAEE24F8D}" uniqueName="R_x005f_x00e9_ductiondesd_x005f_x00e9_laisde" name="Réduction des délais de livraison" queryTableFieldId="27" dataDxfId="22"/>
    <tableColumn id="30" xr3:uid="{9D47CD5C-7A7D-401A-B2CF-66AC852691E3}" uniqueName="Meilleurema_x005f_x00ee_trisedesrisque" name="Meilleure maîtrise des risque" queryTableFieldId="28" dataDxfId="21"/>
    <tableColumn id="31" xr3:uid="{D95D83C6-5298-435B-8CA8-6F9577C1613F}" uniqueName="Am_x005f_x00e9_liorationdesrelationsfo" name="Amélioration des relations fournisseurs" queryTableFieldId="29" dataDxfId="20"/>
    <tableColumn id="32" xr3:uid="{1FE21DCE-0046-4E44-A20B-5EB1634F644C}" uniqueName="Automatisationetdigitalisation" name="Automatisation et digitalisation" queryTableFieldId="30" dataDxfId="19"/>
    <tableColumn id="33" xr3:uid="{09CF55DF-BDCD-43AD-9BF5-D61B4038C942}" uniqueName="Am_x005f_x00e9_liorationdel_x005f_x2019_imag" name="Amélioration de l’image RSE" queryTableFieldId="31" dataDxfId="18"/>
    <tableColumn id="34" xr3:uid="{B4A8BB7C-0D41-4D46-A41B-10C072F3A174}" uniqueName="Couverturecontractuelle" name="Couverture contractuelle" queryTableFieldId="32" dataDxfId="17"/>
    <tableColumn id="35" xr3:uid="{04731FEB-A479-42BA-BDA4-B5F3E7A97ECD}" uniqueName="Plandaction" name="Plan d'action" queryTableFieldId="33" dataDxfId="16"/>
    <tableColumn id="36" xr3:uid="{8EE30046-6A56-4BBC-9E0A-E1EACC63B5D9}" uniqueName="Programmation" name="Programmation" queryTableFieldId="34" dataDxfId="15"/>
    <tableColumn id="37" xr3:uid="{D757965C-4318-42CA-AA4C-54B1507C20EC}" uniqueName="LevierAchat" name="Levier Achat" queryTableFieldId="35" dataDxfId="14"/>
    <tableColumn id="38" xr3:uid="{B9F12555-8FE9-43EA-AE04-F489BDEDFBB3}" uniqueName="Total_Opportun" name="Total_Opportun" queryTableFieldId="37" dataDxfId="13"/>
    <tableColumn id="39" xr3:uid="{1CB1714F-3016-46FD-AFF9-4BA5CE7944DF}" uniqueName="Total_Risques" name="Total_Risques" queryTableFieldId="38" dataDxfId="12"/>
    <tableColumn id="40" xr3:uid="{D29FF2EE-DF1F-427A-B178-4F24E376EFB1}" uniqueName="Total_CIT" name="Total_CIT" queryTableFieldId="39" dataDxfId="11"/>
    <tableColumn id="41" xr3:uid="{E91535D1-D24F-48CF-A7C5-3145F48003BF}" uniqueName="Total_CIC" name="Total_CIC" queryTableFieldId="40" dataDxfId="10"/>
    <tableColumn id="42" xr3:uid="{3F8D3AEB-0D1E-47D9-957E-19179B148CE4}" uniqueName="Total_CET" name="Total_CET" queryTableFieldId="41" dataDxfId="9"/>
    <tableColumn id="43" xr3:uid="{EC3CCD54-AB02-4718-B1EE-39F8BAFD464A}" uniqueName="Total_CEC" name="Total_CEC" queryTableFieldId="42" dataDxfId="8"/>
    <tableColumn id="44" xr3:uid="{074B26B4-D924-474B-A13D-F0A58D3A4742}" uniqueName="FSObjType" name="Type d'élément" queryTableFieldId="45" dataDxfId="7"/>
    <tableColumn id="45" xr3:uid="{DE618C6B-EC77-4B61-9C5B-EE6602680DB2}" uniqueName="FileDirRef" name="Chemin d'accès" queryTableFieldId="44" dataDxfId="6"/>
    <tableColumn id="46" xr3:uid="{8DE50485-354B-4E39-95E0-08ACD5A699AF}" uniqueName="46" name="Montant commandé (K€)" queryTableFieldId="46" dataDxfId="5">
      <calculatedColumnFormula>IFERROR(ROUND(IF(Tableau_query__18[[#This Row],[Sous famille]]&lt;&gt;"",VLOOKUP(Tableau_query__18[[#This Row],[Sous famille]],'A013 TCD'!G:H,2,FALSE),VLOOKUP(Tableau_query__18[[#This Row],[Famille d''achat]],'A013 TCD'!D:E,2,FALSE))/1000,0),"")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B529F-EE97-4374-8F1E-CDD40585ADCD}">
  <dimension ref="A1:AT133"/>
  <sheetViews>
    <sheetView tabSelected="1" workbookViewId="0">
      <selection activeCell="G81" sqref="G81"/>
    </sheetView>
  </sheetViews>
  <sheetFormatPr baseColWidth="10" defaultRowHeight="15" x14ac:dyDescent="0.25"/>
  <cols>
    <col min="1" max="1" width="5.28515625" bestFit="1" customWidth="1"/>
    <col min="2" max="2" width="80" bestFit="1" customWidth="1"/>
    <col min="3" max="3" width="18.85546875" bestFit="1" customWidth="1"/>
    <col min="4" max="4" width="68.140625" bestFit="1" customWidth="1"/>
    <col min="5" max="5" width="22.28515625" bestFit="1" customWidth="1"/>
    <col min="6" max="6" width="22.85546875" bestFit="1" customWidth="1"/>
    <col min="7" max="7" width="68.140625" bestFit="1" customWidth="1"/>
    <col min="8" max="8" width="80" bestFit="1" customWidth="1"/>
    <col min="9" max="9" width="56.85546875" bestFit="1" customWidth="1"/>
    <col min="10" max="10" width="73.28515625" bestFit="1" customWidth="1"/>
    <col min="11" max="11" width="55.85546875" bestFit="1" customWidth="1"/>
    <col min="12" max="12" width="77.140625" bestFit="1" customWidth="1"/>
    <col min="13" max="13" width="81.140625" bestFit="1" customWidth="1"/>
    <col min="14" max="14" width="79.42578125" bestFit="1" customWidth="1"/>
    <col min="15" max="15" width="66" bestFit="1" customWidth="1"/>
    <col min="16" max="17" width="81.140625" bestFit="1" customWidth="1"/>
    <col min="18" max="18" width="25.85546875" bestFit="1" customWidth="1"/>
    <col min="19" max="19" width="31.28515625" bestFit="1" customWidth="1"/>
    <col min="20" max="20" width="22.5703125" bestFit="1" customWidth="1"/>
    <col min="21" max="21" width="30.7109375" bestFit="1" customWidth="1"/>
    <col min="22" max="22" width="36.85546875" bestFit="1" customWidth="1"/>
    <col min="23" max="23" width="37.85546875" bestFit="1" customWidth="1"/>
    <col min="24" max="24" width="34.42578125" bestFit="1" customWidth="1"/>
    <col min="25" max="25" width="21.7109375" bestFit="1" customWidth="1"/>
    <col min="26" max="26" width="48" bestFit="1" customWidth="1"/>
    <col min="27" max="27" width="24.42578125" bestFit="1" customWidth="1"/>
    <col min="28" max="28" width="24" bestFit="1" customWidth="1"/>
    <col min="29" max="29" width="33.42578125" bestFit="1" customWidth="1"/>
    <col min="30" max="30" width="30" bestFit="1" customWidth="1"/>
    <col min="31" max="31" width="39.5703125" bestFit="1" customWidth="1"/>
    <col min="32" max="32" width="31.85546875" bestFit="1" customWidth="1"/>
    <col min="33" max="33" width="29" bestFit="1" customWidth="1"/>
    <col min="34" max="34" width="26.28515625" bestFit="1" customWidth="1"/>
    <col min="35" max="35" width="81.140625" bestFit="1" customWidth="1"/>
    <col min="36" max="36" width="37.140625" bestFit="1" customWidth="1"/>
    <col min="37" max="37" width="81.140625" bestFit="1" customWidth="1"/>
    <col min="38" max="38" width="17.140625" bestFit="1" customWidth="1"/>
    <col min="39" max="39" width="15.85546875" bestFit="1" customWidth="1"/>
    <col min="40" max="40" width="11.5703125" bestFit="1" customWidth="1"/>
    <col min="41" max="41" width="12" bestFit="1" customWidth="1"/>
    <col min="42" max="42" width="12.140625" bestFit="1" customWidth="1"/>
    <col min="43" max="43" width="12.5703125" bestFit="1" customWidth="1"/>
    <col min="44" max="44" width="17.140625" bestFit="1" customWidth="1"/>
    <col min="45" max="45" width="43.42578125" bestFit="1" customWidth="1"/>
    <col min="46" max="46" width="25.42578125" bestFit="1" customWidth="1"/>
  </cols>
  <sheetData>
    <row r="1" spans="1:46" x14ac:dyDescent="0.25">
      <c r="A1" t="s">
        <v>42</v>
      </c>
      <c r="B1" t="s">
        <v>0</v>
      </c>
      <c r="C1" t="s">
        <v>1</v>
      </c>
      <c r="D1" t="s">
        <v>3</v>
      </c>
      <c r="E1" t="s">
        <v>2</v>
      </c>
      <c r="F1" t="s">
        <v>35</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36</v>
      </c>
      <c r="AM1" t="s">
        <v>37</v>
      </c>
      <c r="AN1" t="s">
        <v>38</v>
      </c>
      <c r="AO1" t="s">
        <v>39</v>
      </c>
      <c r="AP1" t="s">
        <v>40</v>
      </c>
      <c r="AQ1" t="s">
        <v>41</v>
      </c>
      <c r="AR1" t="s">
        <v>44</v>
      </c>
      <c r="AS1" t="s">
        <v>43</v>
      </c>
      <c r="AT1" t="s">
        <v>1033</v>
      </c>
    </row>
    <row r="2" spans="1:46" hidden="1" x14ac:dyDescent="0.25">
      <c r="A2" s="1">
        <v>6</v>
      </c>
      <c r="B2" s="2" t="s">
        <v>45</v>
      </c>
      <c r="C2" s="3">
        <v>46105</v>
      </c>
      <c r="D2" s="2" t="s">
        <v>47</v>
      </c>
      <c r="E2" s="2" t="s">
        <v>46</v>
      </c>
      <c r="F2" s="2" t="s">
        <v>64</v>
      </c>
      <c r="G2" s="2"/>
      <c r="H2" s="2" t="s">
        <v>48</v>
      </c>
      <c r="I2" s="2" t="s">
        <v>49</v>
      </c>
      <c r="J2" s="2" t="s">
        <v>50</v>
      </c>
      <c r="K2" s="2" t="s">
        <v>51</v>
      </c>
      <c r="L2" s="2" t="s">
        <v>52</v>
      </c>
      <c r="M2" s="2" t="s">
        <v>53</v>
      </c>
      <c r="N2" s="2" t="s">
        <v>54</v>
      </c>
      <c r="O2" s="2" t="s">
        <v>55</v>
      </c>
      <c r="P2" s="2" t="s">
        <v>56</v>
      </c>
      <c r="Q2" s="2" t="s">
        <v>57</v>
      </c>
      <c r="R2" s="2" t="s">
        <v>58</v>
      </c>
      <c r="S2" s="2" t="s">
        <v>58</v>
      </c>
      <c r="T2" s="2" t="s">
        <v>59</v>
      </c>
      <c r="U2" s="2" t="s">
        <v>60</v>
      </c>
      <c r="V2" s="2" t="s">
        <v>59</v>
      </c>
      <c r="W2" s="2" t="s">
        <v>58</v>
      </c>
      <c r="X2" s="2" t="s">
        <v>60</v>
      </c>
      <c r="Y2" s="2" t="s">
        <v>59</v>
      </c>
      <c r="Z2" s="2" t="s">
        <v>59</v>
      </c>
      <c r="AA2" s="2" t="s">
        <v>61</v>
      </c>
      <c r="AB2" s="2"/>
      <c r="AC2" s="2" t="s">
        <v>59</v>
      </c>
      <c r="AD2" s="2" t="s">
        <v>59</v>
      </c>
      <c r="AE2" s="2" t="s">
        <v>59</v>
      </c>
      <c r="AF2" s="2" t="s">
        <v>59</v>
      </c>
      <c r="AG2" s="2" t="s">
        <v>60</v>
      </c>
      <c r="AH2" s="2" t="s">
        <v>62</v>
      </c>
      <c r="AI2" s="4"/>
      <c r="AJ2" s="2" t="s">
        <v>63</v>
      </c>
      <c r="AK2" s="2"/>
      <c r="AL2" s="5">
        <v>0</v>
      </c>
      <c r="AM2" s="5">
        <v>0</v>
      </c>
      <c r="AN2">
        <v>7.2</v>
      </c>
      <c r="AO2">
        <v>12</v>
      </c>
      <c r="AP2">
        <v>0</v>
      </c>
      <c r="AQ2">
        <v>0</v>
      </c>
      <c r="AR2" s="2" t="s">
        <v>66</v>
      </c>
      <c r="AS2" s="2" t="s">
        <v>65</v>
      </c>
      <c r="AT2">
        <f>IFERROR(ROUND(IF(Tableau_query__18[[#This Row],[Sous famille]]&lt;&gt;"",VLOOKUP(Tableau_query__18[[#This Row],[Sous famille]],'A013 TCD'!G:H,2,FALSE),VLOOKUP(Tableau_query__18[[#This Row],[Famille d''achat]],'A013 TCD'!D:E,2,FALSE))/1000,0),"")</f>
        <v>1827</v>
      </c>
    </row>
    <row r="3" spans="1:46" hidden="1" x14ac:dyDescent="0.25">
      <c r="A3" s="1">
        <v>7</v>
      </c>
      <c r="B3" s="2" t="s">
        <v>67</v>
      </c>
      <c r="C3" s="3">
        <v>45916</v>
      </c>
      <c r="D3" s="2" t="s">
        <v>68</v>
      </c>
      <c r="E3" s="2" t="s">
        <v>46</v>
      </c>
      <c r="F3" s="2" t="s">
        <v>64</v>
      </c>
      <c r="G3" s="2"/>
      <c r="H3" s="2" t="s">
        <v>69</v>
      </c>
      <c r="I3" s="2" t="s">
        <v>70</v>
      </c>
      <c r="J3" s="2" t="s">
        <v>71</v>
      </c>
      <c r="K3" s="2" t="s">
        <v>72</v>
      </c>
      <c r="L3" s="2" t="s">
        <v>52</v>
      </c>
      <c r="M3" s="2" t="s">
        <v>53</v>
      </c>
      <c r="N3" s="2" t="s">
        <v>54</v>
      </c>
      <c r="O3" s="2" t="s">
        <v>55</v>
      </c>
      <c r="P3" s="2" t="s">
        <v>56</v>
      </c>
      <c r="Q3" s="2" t="s">
        <v>57</v>
      </c>
      <c r="R3" s="2" t="s">
        <v>58</v>
      </c>
      <c r="S3" s="2" t="s">
        <v>58</v>
      </c>
      <c r="T3" s="2" t="s">
        <v>59</v>
      </c>
      <c r="U3" s="2" t="s">
        <v>59</v>
      </c>
      <c r="V3" s="2" t="s">
        <v>59</v>
      </c>
      <c r="W3" s="2" t="s">
        <v>58</v>
      </c>
      <c r="X3" s="2" t="s">
        <v>61</v>
      </c>
      <c r="Y3" s="2" t="s">
        <v>61</v>
      </c>
      <c r="Z3" s="2" t="s">
        <v>59</v>
      </c>
      <c r="AA3" s="2" t="s">
        <v>61</v>
      </c>
      <c r="AB3" s="2" t="s">
        <v>58</v>
      </c>
      <c r="AC3" s="2" t="s">
        <v>59</v>
      </c>
      <c r="AD3" s="2" t="s">
        <v>59</v>
      </c>
      <c r="AE3" s="2" t="s">
        <v>61</v>
      </c>
      <c r="AF3" s="2" t="s">
        <v>59</v>
      </c>
      <c r="AG3" s="2" t="s">
        <v>60</v>
      </c>
      <c r="AH3" s="2" t="s">
        <v>62</v>
      </c>
      <c r="AI3" s="4" t="s">
        <v>73</v>
      </c>
      <c r="AJ3" s="2" t="s">
        <v>74</v>
      </c>
      <c r="AK3" s="2"/>
      <c r="AL3" s="5">
        <v>5.5</v>
      </c>
      <c r="AM3" s="5">
        <v>3.5</v>
      </c>
      <c r="AN3">
        <v>2.4</v>
      </c>
      <c r="AO3">
        <v>0</v>
      </c>
      <c r="AP3">
        <v>0</v>
      </c>
      <c r="AQ3">
        <v>0</v>
      </c>
      <c r="AR3" s="2" t="s">
        <v>66</v>
      </c>
      <c r="AS3" s="2" t="s">
        <v>65</v>
      </c>
      <c r="AT3">
        <f>IFERROR(ROUND(IF(Tableau_query__18[[#This Row],[Sous famille]]&lt;&gt;"",VLOOKUP(Tableau_query__18[[#This Row],[Sous famille]],'A013 TCD'!G:H,2,FALSE),VLOOKUP(Tableau_query__18[[#This Row],[Famille d''achat]],'A013 TCD'!D:E,2,FALSE))/1000,0),"")</f>
        <v>453</v>
      </c>
    </row>
    <row r="4" spans="1:46" hidden="1" x14ac:dyDescent="0.25">
      <c r="A4" s="1">
        <v>8</v>
      </c>
      <c r="B4" s="2" t="s">
        <v>75</v>
      </c>
      <c r="C4" s="3">
        <v>45918</v>
      </c>
      <c r="D4" s="2" t="s">
        <v>76</v>
      </c>
      <c r="E4" s="2" t="s">
        <v>46</v>
      </c>
      <c r="F4" s="2" t="s">
        <v>64</v>
      </c>
      <c r="G4" s="2"/>
      <c r="H4" s="2" t="s">
        <v>69</v>
      </c>
      <c r="I4" s="2" t="s">
        <v>77</v>
      </c>
      <c r="J4" s="2" t="s">
        <v>78</v>
      </c>
      <c r="K4" s="2" t="s">
        <v>51</v>
      </c>
      <c r="L4" s="2" t="s">
        <v>52</v>
      </c>
      <c r="M4" s="2" t="s">
        <v>53</v>
      </c>
      <c r="N4" s="2" t="s">
        <v>79</v>
      </c>
      <c r="O4" s="2" t="s">
        <v>55</v>
      </c>
      <c r="P4" s="2" t="s">
        <v>56</v>
      </c>
      <c r="Q4" s="2" t="s">
        <v>57</v>
      </c>
      <c r="R4" s="2" t="s">
        <v>59</v>
      </c>
      <c r="S4" s="2" t="s">
        <v>58</v>
      </c>
      <c r="T4" s="2" t="s">
        <v>59</v>
      </c>
      <c r="U4" s="2" t="s">
        <v>59</v>
      </c>
      <c r="V4" s="2" t="s">
        <v>61</v>
      </c>
      <c r="W4" s="2" t="s">
        <v>59</v>
      </c>
      <c r="X4" s="2" t="s">
        <v>61</v>
      </c>
      <c r="Y4" s="2" t="s">
        <v>59</v>
      </c>
      <c r="Z4" s="2" t="s">
        <v>58</v>
      </c>
      <c r="AA4" s="2" t="s">
        <v>61</v>
      </c>
      <c r="AB4" s="2" t="s">
        <v>58</v>
      </c>
      <c r="AC4" s="2" t="s">
        <v>61</v>
      </c>
      <c r="AD4" s="2" t="s">
        <v>59</v>
      </c>
      <c r="AE4" s="2" t="s">
        <v>61</v>
      </c>
      <c r="AF4" s="2" t="s">
        <v>59</v>
      </c>
      <c r="AG4" s="2" t="s">
        <v>58</v>
      </c>
      <c r="AH4" s="2" t="s">
        <v>62</v>
      </c>
      <c r="AI4" s="4" t="s">
        <v>80</v>
      </c>
      <c r="AJ4" s="2" t="s">
        <v>81</v>
      </c>
      <c r="AK4" s="2" t="s">
        <v>82</v>
      </c>
      <c r="AL4" s="5">
        <v>4</v>
      </c>
      <c r="AM4" s="5">
        <v>4.5</v>
      </c>
      <c r="AN4">
        <v>6.4</v>
      </c>
      <c r="AO4">
        <v>13.6</v>
      </c>
      <c r="AP4">
        <v>5.6</v>
      </c>
      <c r="AQ4">
        <v>0.8</v>
      </c>
      <c r="AR4" s="2" t="s">
        <v>66</v>
      </c>
      <c r="AS4" s="2" t="s">
        <v>65</v>
      </c>
      <c r="AT4">
        <f>IFERROR(ROUND(IF(Tableau_query__18[[#This Row],[Sous famille]]&lt;&gt;"",VLOOKUP(Tableau_query__18[[#This Row],[Sous famille]],'A013 TCD'!G:H,2,FALSE),VLOOKUP(Tableau_query__18[[#This Row],[Famille d''achat]],'A013 TCD'!D:E,2,FALSE))/1000,0),"")</f>
        <v>1352</v>
      </c>
    </row>
    <row r="5" spans="1:46" ht="45" hidden="1" x14ac:dyDescent="0.25">
      <c r="A5" s="1">
        <v>9</v>
      </c>
      <c r="B5" s="2" t="s">
        <v>83</v>
      </c>
      <c r="C5" s="3">
        <v>45918</v>
      </c>
      <c r="D5" s="2" t="s">
        <v>84</v>
      </c>
      <c r="E5" s="2" t="s">
        <v>46</v>
      </c>
      <c r="F5" s="2" t="s">
        <v>90</v>
      </c>
      <c r="G5" s="2"/>
      <c r="H5" s="2" t="s">
        <v>48</v>
      </c>
      <c r="I5" s="2" t="s">
        <v>77</v>
      </c>
      <c r="J5" s="2" t="s">
        <v>78</v>
      </c>
      <c r="K5" s="2" t="s">
        <v>51</v>
      </c>
      <c r="L5" s="2" t="s">
        <v>85</v>
      </c>
      <c r="M5" s="2" t="s">
        <v>53</v>
      </c>
      <c r="N5" s="2" t="s">
        <v>86</v>
      </c>
      <c r="O5" s="2" t="s">
        <v>55</v>
      </c>
      <c r="P5" s="2" t="s">
        <v>56</v>
      </c>
      <c r="Q5" s="2" t="s">
        <v>57</v>
      </c>
      <c r="R5" s="2" t="s">
        <v>58</v>
      </c>
      <c r="S5" s="2" t="s">
        <v>58</v>
      </c>
      <c r="T5" s="2" t="s">
        <v>59</v>
      </c>
      <c r="U5" s="2" t="s">
        <v>59</v>
      </c>
      <c r="V5" s="2" t="s">
        <v>59</v>
      </c>
      <c r="W5" s="2" t="s">
        <v>58</v>
      </c>
      <c r="X5" s="2" t="s">
        <v>58</v>
      </c>
      <c r="Y5" s="2" t="s">
        <v>59</v>
      </c>
      <c r="Z5" s="2" t="s">
        <v>59</v>
      </c>
      <c r="AA5" s="2" t="s">
        <v>61</v>
      </c>
      <c r="AB5" s="2" t="s">
        <v>58</v>
      </c>
      <c r="AC5" s="2" t="s">
        <v>59</v>
      </c>
      <c r="AD5" s="2" t="s">
        <v>59</v>
      </c>
      <c r="AE5" s="2" t="s">
        <v>59</v>
      </c>
      <c r="AF5" s="2" t="s">
        <v>58</v>
      </c>
      <c r="AG5" s="2" t="s">
        <v>61</v>
      </c>
      <c r="AH5" s="2" t="s">
        <v>87</v>
      </c>
      <c r="AI5" s="4" t="s">
        <v>88</v>
      </c>
      <c r="AJ5" s="2" t="s">
        <v>89</v>
      </c>
      <c r="AK5" s="2" t="s">
        <v>82</v>
      </c>
      <c r="AL5" s="5">
        <v>4</v>
      </c>
      <c r="AM5" s="5">
        <v>2</v>
      </c>
      <c r="AN5">
        <v>9.6</v>
      </c>
      <c r="AO5">
        <v>11.2</v>
      </c>
      <c r="AP5">
        <v>2.4</v>
      </c>
      <c r="AQ5">
        <v>0.8</v>
      </c>
      <c r="AR5" s="2" t="s">
        <v>66</v>
      </c>
      <c r="AS5" s="2" t="s">
        <v>65</v>
      </c>
      <c r="AT5">
        <f>IFERROR(ROUND(IF(Tableau_query__18[[#This Row],[Sous famille]]&lt;&gt;"",VLOOKUP(Tableau_query__18[[#This Row],[Sous famille]],'A013 TCD'!G:H,2,FALSE),VLOOKUP(Tableau_query__18[[#This Row],[Famille d''achat]],'A013 TCD'!D:E,2,FALSE))/1000,0),"")</f>
        <v>15</v>
      </c>
    </row>
    <row r="6" spans="1:46" ht="45" hidden="1" x14ac:dyDescent="0.25">
      <c r="A6" s="1">
        <v>10</v>
      </c>
      <c r="B6" s="2" t="s">
        <v>91</v>
      </c>
      <c r="C6" s="3">
        <v>45916</v>
      </c>
      <c r="D6" s="2" t="s">
        <v>92</v>
      </c>
      <c r="E6" s="2" t="s">
        <v>46</v>
      </c>
      <c r="F6" s="2" t="s">
        <v>90</v>
      </c>
      <c r="G6" s="2"/>
      <c r="H6" s="2" t="s">
        <v>69</v>
      </c>
      <c r="I6" s="2" t="s">
        <v>49</v>
      </c>
      <c r="J6" s="2" t="s">
        <v>71</v>
      </c>
      <c r="K6" s="2" t="s">
        <v>51</v>
      </c>
      <c r="L6" s="2" t="s">
        <v>93</v>
      </c>
      <c r="M6" s="2" t="s">
        <v>94</v>
      </c>
      <c r="N6" s="2" t="s">
        <v>95</v>
      </c>
      <c r="O6" s="2" t="s">
        <v>96</v>
      </c>
      <c r="P6" s="2" t="s">
        <v>56</v>
      </c>
      <c r="Q6" s="2" t="s">
        <v>97</v>
      </c>
      <c r="R6" s="2" t="s">
        <v>61</v>
      </c>
      <c r="S6" s="2" t="s">
        <v>59</v>
      </c>
      <c r="T6" s="2" t="s">
        <v>61</v>
      </c>
      <c r="U6" s="2" t="s">
        <v>59</v>
      </c>
      <c r="V6" s="2" t="s">
        <v>59</v>
      </c>
      <c r="W6" s="2" t="s">
        <v>61</v>
      </c>
      <c r="X6" s="2" t="s">
        <v>61</v>
      </c>
      <c r="Y6" s="2" t="s">
        <v>59</v>
      </c>
      <c r="Z6" s="2" t="s">
        <v>58</v>
      </c>
      <c r="AA6" s="2" t="s">
        <v>61</v>
      </c>
      <c r="AB6" s="2" t="s">
        <v>58</v>
      </c>
      <c r="AC6" s="2" t="s">
        <v>58</v>
      </c>
      <c r="AD6" s="2" t="s">
        <v>59</v>
      </c>
      <c r="AE6" s="2" t="s">
        <v>59</v>
      </c>
      <c r="AF6" s="2" t="s">
        <v>58</v>
      </c>
      <c r="AG6" s="2" t="s">
        <v>58</v>
      </c>
      <c r="AH6" s="2" t="s">
        <v>98</v>
      </c>
      <c r="AI6" s="4" t="s">
        <v>99</v>
      </c>
      <c r="AJ6" s="2"/>
      <c r="AK6" s="2" t="s">
        <v>82</v>
      </c>
      <c r="AL6" s="5">
        <v>2</v>
      </c>
      <c r="AM6" s="5">
        <v>6</v>
      </c>
      <c r="AN6">
        <v>9.6</v>
      </c>
      <c r="AO6">
        <v>8</v>
      </c>
      <c r="AP6">
        <v>8.8000000000000007</v>
      </c>
      <c r="AQ6">
        <v>1.6</v>
      </c>
      <c r="AR6" s="2" t="s">
        <v>66</v>
      </c>
      <c r="AS6" s="2" t="s">
        <v>65</v>
      </c>
      <c r="AT6">
        <f>IFERROR(ROUND(IF(Tableau_query__18[[#This Row],[Sous famille]]&lt;&gt;"",VLOOKUP(Tableau_query__18[[#This Row],[Sous famille]],'A013 TCD'!G:H,2,FALSE),VLOOKUP(Tableau_query__18[[#This Row],[Famille d''achat]],'A013 TCD'!D:E,2,FALSE))/1000,0),"")</f>
        <v>3670</v>
      </c>
    </row>
    <row r="7" spans="1:46" ht="30" hidden="1" x14ac:dyDescent="0.25">
      <c r="A7" s="1">
        <v>11</v>
      </c>
      <c r="B7" s="2" t="s">
        <v>100</v>
      </c>
      <c r="C7" s="3">
        <v>45918</v>
      </c>
      <c r="D7" s="2" t="s">
        <v>101</v>
      </c>
      <c r="E7" s="2" t="s">
        <v>46</v>
      </c>
      <c r="F7" s="2" t="s">
        <v>64</v>
      </c>
      <c r="G7" s="2"/>
      <c r="H7" s="2" t="s">
        <v>102</v>
      </c>
      <c r="I7" s="2" t="s">
        <v>77</v>
      </c>
      <c r="J7" s="2" t="s">
        <v>103</v>
      </c>
      <c r="K7" s="2" t="s">
        <v>104</v>
      </c>
      <c r="L7" s="2" t="s">
        <v>93</v>
      </c>
      <c r="M7" s="2" t="s">
        <v>53</v>
      </c>
      <c r="N7" s="2" t="s">
        <v>79</v>
      </c>
      <c r="O7" s="2" t="s">
        <v>96</v>
      </c>
      <c r="P7" s="2" t="s">
        <v>56</v>
      </c>
      <c r="Q7" s="2" t="s">
        <v>57</v>
      </c>
      <c r="R7" s="2" t="s">
        <v>60</v>
      </c>
      <c r="S7" s="2" t="s">
        <v>58</v>
      </c>
      <c r="T7" s="2" t="s">
        <v>60</v>
      </c>
      <c r="U7" s="2" t="s">
        <v>59</v>
      </c>
      <c r="V7" s="2" t="s">
        <v>61</v>
      </c>
      <c r="W7" s="2" t="s">
        <v>61</v>
      </c>
      <c r="X7" s="2" t="s">
        <v>60</v>
      </c>
      <c r="Y7" s="2" t="s">
        <v>59</v>
      </c>
      <c r="Z7" s="2" t="s">
        <v>59</v>
      </c>
      <c r="AA7" s="2" t="s">
        <v>60</v>
      </c>
      <c r="AB7" s="2" t="s">
        <v>58</v>
      </c>
      <c r="AC7" s="2" t="s">
        <v>59</v>
      </c>
      <c r="AD7" s="2" t="s">
        <v>61</v>
      </c>
      <c r="AE7" s="2" t="s">
        <v>60</v>
      </c>
      <c r="AF7" s="2" t="s">
        <v>58</v>
      </c>
      <c r="AG7" s="2" t="s">
        <v>58</v>
      </c>
      <c r="AH7" s="2" t="s">
        <v>105</v>
      </c>
      <c r="AI7" s="4" t="s">
        <v>106</v>
      </c>
      <c r="AJ7" s="2" t="s">
        <v>107</v>
      </c>
      <c r="AK7" s="2" t="s">
        <v>108</v>
      </c>
      <c r="AL7" s="5">
        <v>5</v>
      </c>
      <c r="AM7" s="5">
        <v>7.5</v>
      </c>
      <c r="AN7">
        <v>13.6</v>
      </c>
      <c r="AO7">
        <v>15.2</v>
      </c>
      <c r="AP7">
        <v>6.4</v>
      </c>
      <c r="AQ7">
        <v>4.8</v>
      </c>
      <c r="AR7" s="2" t="s">
        <v>66</v>
      </c>
      <c r="AS7" s="2" t="s">
        <v>65</v>
      </c>
      <c r="AT7">
        <f>IFERROR(ROUND(IF(Tableau_query__18[[#This Row],[Sous famille]]&lt;&gt;"",VLOOKUP(Tableau_query__18[[#This Row],[Sous famille]],'A013 TCD'!G:H,2,FALSE),VLOOKUP(Tableau_query__18[[#This Row],[Famille d''achat]],'A013 TCD'!D:E,2,FALSE))/1000,0),"")</f>
        <v>4680</v>
      </c>
    </row>
    <row r="8" spans="1:46" hidden="1" x14ac:dyDescent="0.25">
      <c r="A8" s="1">
        <v>12</v>
      </c>
      <c r="B8" s="2" t="s">
        <v>109</v>
      </c>
      <c r="C8" s="3">
        <v>45916</v>
      </c>
      <c r="D8" s="2" t="s">
        <v>110</v>
      </c>
      <c r="E8" s="2" t="s">
        <v>46</v>
      </c>
      <c r="F8" s="2" t="s">
        <v>90</v>
      </c>
      <c r="G8" s="2"/>
      <c r="H8" s="2" t="s">
        <v>48</v>
      </c>
      <c r="I8" s="2" t="s">
        <v>77</v>
      </c>
      <c r="J8" s="2" t="s">
        <v>78</v>
      </c>
      <c r="K8" s="2" t="s">
        <v>72</v>
      </c>
      <c r="L8" s="2" t="s">
        <v>85</v>
      </c>
      <c r="M8" s="2" t="s">
        <v>53</v>
      </c>
      <c r="N8" s="2" t="s">
        <v>79</v>
      </c>
      <c r="O8" s="2" t="s">
        <v>55</v>
      </c>
      <c r="P8" s="2" t="s">
        <v>56</v>
      </c>
      <c r="Q8" s="2" t="s">
        <v>57</v>
      </c>
      <c r="R8" s="2" t="s">
        <v>59</v>
      </c>
      <c r="S8" s="2" t="s">
        <v>59</v>
      </c>
      <c r="T8" s="2" t="s">
        <v>59</v>
      </c>
      <c r="U8" s="2" t="s">
        <v>60</v>
      </c>
      <c r="V8" s="2" t="s">
        <v>59</v>
      </c>
      <c r="W8" s="2" t="s">
        <v>59</v>
      </c>
      <c r="X8" s="2" t="s">
        <v>61</v>
      </c>
      <c r="Y8" s="2" t="s">
        <v>60</v>
      </c>
      <c r="Z8" s="2" t="s">
        <v>60</v>
      </c>
      <c r="AA8" s="2" t="s">
        <v>60</v>
      </c>
      <c r="AB8" s="2" t="s">
        <v>59</v>
      </c>
      <c r="AC8" s="2" t="s">
        <v>61</v>
      </c>
      <c r="AD8" s="2" t="s">
        <v>61</v>
      </c>
      <c r="AE8" s="2" t="s">
        <v>61</v>
      </c>
      <c r="AF8" s="2" t="s">
        <v>61</v>
      </c>
      <c r="AG8" s="2" t="s">
        <v>111</v>
      </c>
      <c r="AH8" s="2" t="s">
        <v>105</v>
      </c>
      <c r="AI8" s="4" t="s">
        <v>112</v>
      </c>
      <c r="AJ8" s="2" t="s">
        <v>113</v>
      </c>
      <c r="AK8" s="2" t="s">
        <v>82</v>
      </c>
      <c r="AL8" s="5">
        <v>9.5</v>
      </c>
      <c r="AM8" s="5">
        <v>6.5</v>
      </c>
      <c r="AN8">
        <v>8.8000000000000007</v>
      </c>
      <c r="AO8">
        <v>13.6</v>
      </c>
      <c r="AP8">
        <v>2.4</v>
      </c>
      <c r="AQ8">
        <v>5.6</v>
      </c>
      <c r="AR8" s="2" t="s">
        <v>66</v>
      </c>
      <c r="AS8" s="2" t="s">
        <v>65</v>
      </c>
      <c r="AT8">
        <f>IFERROR(ROUND(IF(Tableau_query__18[[#This Row],[Sous famille]]&lt;&gt;"",VLOOKUP(Tableau_query__18[[#This Row],[Sous famille]],'A013 TCD'!G:H,2,FALSE),VLOOKUP(Tableau_query__18[[#This Row],[Famille d''achat]],'A013 TCD'!D:E,2,FALSE))/1000,0),"")</f>
        <v>1445</v>
      </c>
    </row>
    <row r="9" spans="1:46" hidden="1" x14ac:dyDescent="0.25">
      <c r="A9" s="1">
        <v>13</v>
      </c>
      <c r="B9" s="2" t="s">
        <v>114</v>
      </c>
      <c r="C9" s="3">
        <v>45916</v>
      </c>
      <c r="D9" s="2" t="s">
        <v>115</v>
      </c>
      <c r="E9" s="2" t="s">
        <v>46</v>
      </c>
      <c r="F9" s="2" t="s">
        <v>90</v>
      </c>
      <c r="G9" s="2"/>
      <c r="H9" s="2" t="s">
        <v>116</v>
      </c>
      <c r="I9" s="2" t="s">
        <v>70</v>
      </c>
      <c r="J9" s="2" t="s">
        <v>71</v>
      </c>
      <c r="K9" s="2" t="s">
        <v>72</v>
      </c>
      <c r="L9" s="2" t="s">
        <v>52</v>
      </c>
      <c r="M9" s="2" t="s">
        <v>94</v>
      </c>
      <c r="N9" s="2" t="s">
        <v>86</v>
      </c>
      <c r="O9" s="2" t="s">
        <v>55</v>
      </c>
      <c r="P9" s="2" t="s">
        <v>117</v>
      </c>
      <c r="Q9" s="2" t="s">
        <v>118</v>
      </c>
      <c r="R9" s="2" t="s">
        <v>58</v>
      </c>
      <c r="S9" s="2" t="s">
        <v>59</v>
      </c>
      <c r="T9" s="2" t="s">
        <v>61</v>
      </c>
      <c r="U9" s="2" t="s">
        <v>61</v>
      </c>
      <c r="V9" s="2" t="s">
        <v>59</v>
      </c>
      <c r="W9" s="2" t="s">
        <v>59</v>
      </c>
      <c r="X9" s="2" t="s">
        <v>59</v>
      </c>
      <c r="Y9" s="2" t="s">
        <v>61</v>
      </c>
      <c r="Z9" s="2" t="s">
        <v>61</v>
      </c>
      <c r="AA9" s="2" t="s">
        <v>61</v>
      </c>
      <c r="AB9" s="2" t="s">
        <v>59</v>
      </c>
      <c r="AC9" s="2" t="s">
        <v>59</v>
      </c>
      <c r="AD9" s="2" t="s">
        <v>61</v>
      </c>
      <c r="AE9" s="2" t="s">
        <v>59</v>
      </c>
      <c r="AF9" s="2" t="s">
        <v>61</v>
      </c>
      <c r="AG9" s="2" t="s">
        <v>60</v>
      </c>
      <c r="AH9" s="2" t="s">
        <v>62</v>
      </c>
      <c r="AI9" s="4" t="s">
        <v>112</v>
      </c>
      <c r="AJ9" s="2" t="s">
        <v>119</v>
      </c>
      <c r="AK9" s="2"/>
      <c r="AL9" s="5">
        <v>7</v>
      </c>
      <c r="AM9" s="5">
        <v>5</v>
      </c>
      <c r="AN9">
        <v>1.6</v>
      </c>
      <c r="AO9">
        <v>0</v>
      </c>
      <c r="AP9">
        <v>0</v>
      </c>
      <c r="AQ9">
        <v>0</v>
      </c>
      <c r="AR9" s="2" t="s">
        <v>66</v>
      </c>
      <c r="AS9" s="2" t="s">
        <v>65</v>
      </c>
      <c r="AT9">
        <f>IFERROR(ROUND(IF(Tableau_query__18[[#This Row],[Sous famille]]&lt;&gt;"",VLOOKUP(Tableau_query__18[[#This Row],[Sous famille]],'A013 TCD'!G:H,2,FALSE),VLOOKUP(Tableau_query__18[[#This Row],[Famille d''achat]],'A013 TCD'!D:E,2,FALSE))/1000,0),"")</f>
        <v>645</v>
      </c>
    </row>
    <row r="10" spans="1:46" hidden="1" x14ac:dyDescent="0.25">
      <c r="A10" s="1">
        <v>14</v>
      </c>
      <c r="B10" s="2" t="s">
        <v>120</v>
      </c>
      <c r="C10" s="3">
        <v>45918</v>
      </c>
      <c r="D10" s="2" t="s">
        <v>121</v>
      </c>
      <c r="E10" s="2" t="s">
        <v>46</v>
      </c>
      <c r="F10" s="2" t="s">
        <v>64</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4"/>
      <c r="AJ10" s="2"/>
      <c r="AK10" s="2"/>
      <c r="AL10" s="5">
        <v>0</v>
      </c>
      <c r="AM10" s="5">
        <v>0</v>
      </c>
      <c r="AN10">
        <v>0</v>
      </c>
      <c r="AO10">
        <v>0</v>
      </c>
      <c r="AP10">
        <v>0</v>
      </c>
      <c r="AQ10">
        <v>0</v>
      </c>
      <c r="AR10" s="2" t="s">
        <v>66</v>
      </c>
      <c r="AS10" s="2" t="s">
        <v>65</v>
      </c>
      <c r="AT10">
        <f>IFERROR(ROUND(IF(Tableau_query__18[[#This Row],[Sous famille]]&lt;&gt;"",VLOOKUP(Tableau_query__18[[#This Row],[Sous famille]],'A013 TCD'!G:H,2,FALSE),VLOOKUP(Tableau_query__18[[#This Row],[Famille d''achat]],'A013 TCD'!D:E,2,FALSE))/1000,0),"")</f>
        <v>34</v>
      </c>
    </row>
    <row r="11" spans="1:46" hidden="1" x14ac:dyDescent="0.25">
      <c r="A11" s="1">
        <v>15</v>
      </c>
      <c r="B11" s="2" t="s">
        <v>122</v>
      </c>
      <c r="C11" s="3">
        <v>45916</v>
      </c>
      <c r="D11" s="2" t="s">
        <v>123</v>
      </c>
      <c r="E11" s="2" t="s">
        <v>46</v>
      </c>
      <c r="F11" s="2" t="s">
        <v>90</v>
      </c>
      <c r="G11" s="2"/>
      <c r="H11" s="2" t="s">
        <v>69</v>
      </c>
      <c r="I11" s="2" t="s">
        <v>124</v>
      </c>
      <c r="J11" s="2" t="s">
        <v>50</v>
      </c>
      <c r="K11" s="2" t="s">
        <v>72</v>
      </c>
      <c r="L11" s="2" t="s">
        <v>85</v>
      </c>
      <c r="M11" s="2" t="s">
        <v>53</v>
      </c>
      <c r="N11" s="2" t="s">
        <v>79</v>
      </c>
      <c r="O11" s="2" t="s">
        <v>55</v>
      </c>
      <c r="P11" s="2" t="s">
        <v>56</v>
      </c>
      <c r="Q11" s="2" t="s">
        <v>125</v>
      </c>
      <c r="R11" s="2" t="s">
        <v>58</v>
      </c>
      <c r="S11" s="2" t="s">
        <v>58</v>
      </c>
      <c r="T11" s="2" t="s">
        <v>58</v>
      </c>
      <c r="U11" s="2" t="s">
        <v>58</v>
      </c>
      <c r="V11" s="2" t="s">
        <v>59</v>
      </c>
      <c r="W11" s="2" t="s">
        <v>58</v>
      </c>
      <c r="X11" s="2" t="s">
        <v>59</v>
      </c>
      <c r="Y11" s="2" t="s">
        <v>61</v>
      </c>
      <c r="Z11" s="2" t="s">
        <v>61</v>
      </c>
      <c r="AA11" s="2" t="s">
        <v>61</v>
      </c>
      <c r="AB11" s="2" t="s">
        <v>58</v>
      </c>
      <c r="AC11" s="2" t="s">
        <v>59</v>
      </c>
      <c r="AD11" s="2" t="s">
        <v>59</v>
      </c>
      <c r="AE11" s="2" t="s">
        <v>59</v>
      </c>
      <c r="AF11" s="2" t="s">
        <v>58</v>
      </c>
      <c r="AG11" s="2" t="s">
        <v>58</v>
      </c>
      <c r="AH11" s="2" t="s">
        <v>62</v>
      </c>
      <c r="AI11" s="4" t="s">
        <v>126</v>
      </c>
      <c r="AJ11" s="2" t="s">
        <v>127</v>
      </c>
      <c r="AK11" s="2"/>
      <c r="AL11" s="5">
        <v>3.5</v>
      </c>
      <c r="AM11" s="5">
        <v>2</v>
      </c>
      <c r="AN11">
        <v>8.8000000000000007</v>
      </c>
      <c r="AO11">
        <v>0</v>
      </c>
      <c r="AP11">
        <v>2.4</v>
      </c>
      <c r="AQ11">
        <v>1.6</v>
      </c>
      <c r="AR11" s="2" t="s">
        <v>66</v>
      </c>
      <c r="AS11" s="2" t="s">
        <v>65</v>
      </c>
      <c r="AT11">
        <f>IFERROR(ROUND(IF(Tableau_query__18[[#This Row],[Sous famille]]&lt;&gt;"",VLOOKUP(Tableau_query__18[[#This Row],[Sous famille]],'A013 TCD'!G:H,2,FALSE),VLOOKUP(Tableau_query__18[[#This Row],[Famille d''achat]],'A013 TCD'!D:E,2,FALSE))/1000,0),"")</f>
        <v>6669</v>
      </c>
    </row>
    <row r="12" spans="1:46" hidden="1" x14ac:dyDescent="0.25">
      <c r="A12" s="1">
        <v>16</v>
      </c>
      <c r="B12" s="2" t="s">
        <v>128</v>
      </c>
      <c r="C12" s="3">
        <v>45918</v>
      </c>
      <c r="D12" s="2" t="s">
        <v>129</v>
      </c>
      <c r="E12" s="2" t="s">
        <v>46</v>
      </c>
      <c r="F12" s="2" t="s">
        <v>90</v>
      </c>
      <c r="G12" s="2"/>
      <c r="H12" s="2" t="s">
        <v>102</v>
      </c>
      <c r="I12" s="2" t="s">
        <v>49</v>
      </c>
      <c r="J12" s="2" t="s">
        <v>103</v>
      </c>
      <c r="K12" s="2" t="s">
        <v>130</v>
      </c>
      <c r="L12" s="2" t="s">
        <v>131</v>
      </c>
      <c r="M12" s="2" t="s">
        <v>94</v>
      </c>
      <c r="N12" s="2" t="s">
        <v>86</v>
      </c>
      <c r="O12" s="2" t="s">
        <v>132</v>
      </c>
      <c r="P12" s="2" t="s">
        <v>56</v>
      </c>
      <c r="Q12" s="2" t="s">
        <v>133</v>
      </c>
      <c r="R12" s="2" t="s">
        <v>60</v>
      </c>
      <c r="S12" s="2" t="s">
        <v>61</v>
      </c>
      <c r="T12" s="2" t="s">
        <v>61</v>
      </c>
      <c r="U12" s="2" t="s">
        <v>59</v>
      </c>
      <c r="V12" s="2" t="s">
        <v>59</v>
      </c>
      <c r="W12" s="2" t="s">
        <v>61</v>
      </c>
      <c r="X12" s="2" t="s">
        <v>61</v>
      </c>
      <c r="Y12" s="2" t="s">
        <v>61</v>
      </c>
      <c r="Z12" s="2" t="s">
        <v>59</v>
      </c>
      <c r="AA12" s="2" t="s">
        <v>61</v>
      </c>
      <c r="AB12" s="2" t="s">
        <v>61</v>
      </c>
      <c r="AC12" s="2" t="s">
        <v>58</v>
      </c>
      <c r="AD12" s="2" t="s">
        <v>59</v>
      </c>
      <c r="AE12" s="2" t="s">
        <v>59</v>
      </c>
      <c r="AF12" s="2" t="s">
        <v>59</v>
      </c>
      <c r="AG12" s="2" t="s">
        <v>59</v>
      </c>
      <c r="AH12" s="2" t="s">
        <v>62</v>
      </c>
      <c r="AI12" s="4" t="s">
        <v>134</v>
      </c>
      <c r="AJ12" s="2" t="s">
        <v>81</v>
      </c>
      <c r="AK12" s="2" t="s">
        <v>108</v>
      </c>
      <c r="AL12" s="5">
        <v>4.5</v>
      </c>
      <c r="AM12" s="5">
        <v>7.5</v>
      </c>
      <c r="AN12">
        <v>15.2</v>
      </c>
      <c r="AO12">
        <v>6.4</v>
      </c>
      <c r="AP12">
        <v>4</v>
      </c>
      <c r="AQ12">
        <v>1.6</v>
      </c>
      <c r="AR12" s="2" t="s">
        <v>66</v>
      </c>
      <c r="AS12" s="2" t="s">
        <v>65</v>
      </c>
      <c r="AT12">
        <f>IFERROR(ROUND(IF(Tableau_query__18[[#This Row],[Sous famille]]&lt;&gt;"",VLOOKUP(Tableau_query__18[[#This Row],[Sous famille]],'A013 TCD'!G:H,2,FALSE),VLOOKUP(Tableau_query__18[[#This Row],[Famille d''achat]],'A013 TCD'!D:E,2,FALSE))/1000,0),"")</f>
        <v>117</v>
      </c>
    </row>
    <row r="13" spans="1:46" ht="30" hidden="1" x14ac:dyDescent="0.25">
      <c r="A13" s="1">
        <v>17</v>
      </c>
      <c r="B13" s="2" t="s">
        <v>135</v>
      </c>
      <c r="C13" s="3">
        <v>45918</v>
      </c>
      <c r="D13" s="2" t="s">
        <v>136</v>
      </c>
      <c r="E13" s="2" t="s">
        <v>46</v>
      </c>
      <c r="F13" s="2" t="s">
        <v>64</v>
      </c>
      <c r="G13" s="2"/>
      <c r="H13" s="2" t="s">
        <v>102</v>
      </c>
      <c r="I13" s="2" t="s">
        <v>77</v>
      </c>
      <c r="J13" s="2" t="s">
        <v>103</v>
      </c>
      <c r="K13" s="2" t="s">
        <v>104</v>
      </c>
      <c r="L13" s="2" t="s">
        <v>93</v>
      </c>
      <c r="M13" s="2" t="s">
        <v>53</v>
      </c>
      <c r="N13" s="2" t="s">
        <v>79</v>
      </c>
      <c r="O13" s="2" t="s">
        <v>96</v>
      </c>
      <c r="P13" s="2" t="s">
        <v>56</v>
      </c>
      <c r="Q13" s="2" t="s">
        <v>57</v>
      </c>
      <c r="R13" s="2" t="s">
        <v>111</v>
      </c>
      <c r="S13" s="2" t="s">
        <v>58</v>
      </c>
      <c r="T13" s="2" t="s">
        <v>60</v>
      </c>
      <c r="U13" s="2" t="s">
        <v>59</v>
      </c>
      <c r="V13" s="2" t="s">
        <v>61</v>
      </c>
      <c r="W13" s="2" t="s">
        <v>111</v>
      </c>
      <c r="X13" s="2" t="s">
        <v>61</v>
      </c>
      <c r="Y13" s="2" t="s">
        <v>59</v>
      </c>
      <c r="Z13" s="2" t="s">
        <v>59</v>
      </c>
      <c r="AA13" s="2" t="s">
        <v>60</v>
      </c>
      <c r="AB13" s="2" t="s">
        <v>58</v>
      </c>
      <c r="AC13" s="2" t="s">
        <v>59</v>
      </c>
      <c r="AD13" s="2" t="s">
        <v>61</v>
      </c>
      <c r="AE13" s="2" t="s">
        <v>60</v>
      </c>
      <c r="AF13" s="2" t="s">
        <v>58</v>
      </c>
      <c r="AG13" s="2" t="s">
        <v>58</v>
      </c>
      <c r="AH13" s="2" t="s">
        <v>105</v>
      </c>
      <c r="AI13" s="4" t="s">
        <v>106</v>
      </c>
      <c r="AJ13" s="2" t="s">
        <v>107</v>
      </c>
      <c r="AK13" s="2" t="s">
        <v>108</v>
      </c>
      <c r="AL13" s="5">
        <v>5</v>
      </c>
      <c r="AM13" s="5">
        <v>8.5</v>
      </c>
      <c r="AN13">
        <v>13.6</v>
      </c>
      <c r="AO13">
        <v>15.2</v>
      </c>
      <c r="AP13">
        <v>6.4</v>
      </c>
      <c r="AQ13">
        <v>3.2</v>
      </c>
      <c r="AR13" s="2" t="s">
        <v>66</v>
      </c>
      <c r="AS13" s="2" t="s">
        <v>65</v>
      </c>
      <c r="AT13">
        <f>IFERROR(ROUND(IF(Tableau_query__18[[#This Row],[Sous famille]]&lt;&gt;"",VLOOKUP(Tableau_query__18[[#This Row],[Sous famille]],'A013 TCD'!G:H,2,FALSE),VLOOKUP(Tableau_query__18[[#This Row],[Famille d''achat]],'A013 TCD'!D:E,2,FALSE))/1000,0),"")</f>
        <v>3582</v>
      </c>
    </row>
    <row r="14" spans="1:46" ht="45" hidden="1" x14ac:dyDescent="0.25">
      <c r="A14" s="1">
        <v>18</v>
      </c>
      <c r="B14" s="2" t="s">
        <v>137</v>
      </c>
      <c r="C14" s="3">
        <v>45916</v>
      </c>
      <c r="D14" s="2" t="s">
        <v>138</v>
      </c>
      <c r="E14" s="2" t="s">
        <v>46</v>
      </c>
      <c r="F14" s="2" t="s">
        <v>90</v>
      </c>
      <c r="G14" s="2"/>
      <c r="H14" s="2" t="s">
        <v>69</v>
      </c>
      <c r="I14" s="2" t="s">
        <v>77</v>
      </c>
      <c r="J14" s="2" t="s">
        <v>103</v>
      </c>
      <c r="K14" s="2" t="s">
        <v>51</v>
      </c>
      <c r="L14" s="2" t="s">
        <v>52</v>
      </c>
      <c r="M14" s="2" t="s">
        <v>139</v>
      </c>
      <c r="N14" s="2" t="s">
        <v>86</v>
      </c>
      <c r="O14" s="2" t="s">
        <v>96</v>
      </c>
      <c r="P14" s="2" t="s">
        <v>56</v>
      </c>
      <c r="Q14" s="2" t="s">
        <v>118</v>
      </c>
      <c r="R14" s="2" t="s">
        <v>58</v>
      </c>
      <c r="S14" s="2" t="s">
        <v>58</v>
      </c>
      <c r="T14" s="2" t="s">
        <v>61</v>
      </c>
      <c r="U14" s="2" t="s">
        <v>58</v>
      </c>
      <c r="V14" s="2" t="s">
        <v>60</v>
      </c>
      <c r="W14" s="2" t="s">
        <v>58</v>
      </c>
      <c r="X14" s="2" t="s">
        <v>61</v>
      </c>
      <c r="Y14" s="2" t="s">
        <v>60</v>
      </c>
      <c r="Z14" s="2" t="s">
        <v>59</v>
      </c>
      <c r="AA14" s="2" t="s">
        <v>61</v>
      </c>
      <c r="AB14" s="2" t="s">
        <v>58</v>
      </c>
      <c r="AC14" s="2" t="s">
        <v>59</v>
      </c>
      <c r="AD14" s="2" t="s">
        <v>58</v>
      </c>
      <c r="AE14" s="2" t="s">
        <v>61</v>
      </c>
      <c r="AF14" s="2" t="s">
        <v>58</v>
      </c>
      <c r="AG14" s="2" t="s">
        <v>58</v>
      </c>
      <c r="AH14" s="2" t="s">
        <v>98</v>
      </c>
      <c r="AI14" s="4" t="s">
        <v>140</v>
      </c>
      <c r="AJ14" s="2" t="s">
        <v>141</v>
      </c>
      <c r="AK14" s="2"/>
      <c r="AL14" s="5">
        <v>3</v>
      </c>
      <c r="AM14" s="5">
        <v>5</v>
      </c>
      <c r="AN14">
        <v>5.6</v>
      </c>
      <c r="AO14">
        <v>0</v>
      </c>
      <c r="AP14">
        <v>0</v>
      </c>
      <c r="AQ14">
        <v>0</v>
      </c>
      <c r="AR14" s="2" t="s">
        <v>66</v>
      </c>
      <c r="AS14" s="2" t="s">
        <v>65</v>
      </c>
      <c r="AT14">
        <f>IFERROR(ROUND(IF(Tableau_query__18[[#This Row],[Sous famille]]&lt;&gt;"",VLOOKUP(Tableau_query__18[[#This Row],[Sous famille]],'A013 TCD'!G:H,2,FALSE),VLOOKUP(Tableau_query__18[[#This Row],[Famille d''achat]],'A013 TCD'!D:E,2,FALSE))/1000,0),"")</f>
        <v>4524</v>
      </c>
    </row>
    <row r="15" spans="1:46" hidden="1" x14ac:dyDescent="0.25">
      <c r="A15" s="1">
        <v>19</v>
      </c>
      <c r="B15" s="2" t="s">
        <v>142</v>
      </c>
      <c r="C15" s="3">
        <v>45938</v>
      </c>
      <c r="D15" s="2" t="s">
        <v>144</v>
      </c>
      <c r="E15" s="2" t="s">
        <v>143</v>
      </c>
      <c r="F15" s="2" t="s">
        <v>145</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4"/>
      <c r="AJ15" s="2"/>
      <c r="AK15" s="2"/>
      <c r="AL15" s="5">
        <v>0</v>
      </c>
      <c r="AM15" s="5">
        <v>0</v>
      </c>
      <c r="AN15">
        <v>0</v>
      </c>
      <c r="AO15">
        <v>0</v>
      </c>
      <c r="AP15">
        <v>0</v>
      </c>
      <c r="AQ15">
        <v>0</v>
      </c>
      <c r="AR15" s="2" t="s">
        <v>66</v>
      </c>
      <c r="AS15" s="2" t="s">
        <v>65</v>
      </c>
      <c r="AT15">
        <f>IFERROR(ROUND(IF(Tableau_query__18[[#This Row],[Sous famille]]&lt;&gt;"",VLOOKUP(Tableau_query__18[[#This Row],[Sous famille]],'A013 TCD'!G:H,2,FALSE),VLOOKUP(Tableau_query__18[[#This Row],[Famille d''achat]],'A013 TCD'!D:E,2,FALSE))/1000,0),"")</f>
        <v>241</v>
      </c>
    </row>
    <row r="16" spans="1:46" hidden="1" x14ac:dyDescent="0.25">
      <c r="A16" s="1">
        <v>20</v>
      </c>
      <c r="B16" s="2" t="s">
        <v>146</v>
      </c>
      <c r="C16" s="3"/>
      <c r="D16" s="2" t="s">
        <v>147</v>
      </c>
      <c r="E16" s="2" t="s">
        <v>143</v>
      </c>
      <c r="F16" s="2" t="s">
        <v>148</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4"/>
      <c r="AJ16" s="2"/>
      <c r="AK16" s="2"/>
      <c r="AL16" s="5"/>
      <c r="AM16" s="5"/>
      <c r="AR16" s="2" t="s">
        <v>66</v>
      </c>
      <c r="AS16" s="2" t="s">
        <v>65</v>
      </c>
      <c r="AT16">
        <f>IFERROR(ROUND(IF(Tableau_query__18[[#This Row],[Sous famille]]&lt;&gt;"",VLOOKUP(Tableau_query__18[[#This Row],[Sous famille]],'A013 TCD'!G:H,2,FALSE),VLOOKUP(Tableau_query__18[[#This Row],[Famille d''achat]],'A013 TCD'!D:E,2,FALSE))/1000,0),"")</f>
        <v>140</v>
      </c>
    </row>
    <row r="17" spans="1:46" hidden="1" x14ac:dyDescent="0.25">
      <c r="A17" s="1">
        <v>21</v>
      </c>
      <c r="B17" s="2" t="s">
        <v>149</v>
      </c>
      <c r="C17" s="3"/>
      <c r="D17" s="2" t="s">
        <v>150</v>
      </c>
      <c r="E17" s="2" t="s">
        <v>143</v>
      </c>
      <c r="F17" s="2" t="s">
        <v>148</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4"/>
      <c r="AJ17" s="2"/>
      <c r="AK17" s="2"/>
      <c r="AL17" s="5"/>
      <c r="AM17" s="5"/>
      <c r="AR17" s="2" t="s">
        <v>66</v>
      </c>
      <c r="AS17" s="2" t="s">
        <v>65</v>
      </c>
      <c r="AT17">
        <f>IFERROR(ROUND(IF(Tableau_query__18[[#This Row],[Sous famille]]&lt;&gt;"",VLOOKUP(Tableau_query__18[[#This Row],[Sous famille]],'A013 TCD'!G:H,2,FALSE),VLOOKUP(Tableau_query__18[[#This Row],[Famille d''achat]],'A013 TCD'!D:E,2,FALSE))/1000,0),"")</f>
        <v>243</v>
      </c>
    </row>
    <row r="18" spans="1:46" hidden="1" x14ac:dyDescent="0.25">
      <c r="A18" s="1">
        <v>22</v>
      </c>
      <c r="B18" s="2" t="s">
        <v>151</v>
      </c>
      <c r="C18" s="3">
        <v>45979</v>
      </c>
      <c r="D18" s="2" t="s">
        <v>152</v>
      </c>
      <c r="E18" s="2" t="s">
        <v>143</v>
      </c>
      <c r="F18" s="2" t="s">
        <v>159</v>
      </c>
      <c r="G18" s="2"/>
      <c r="H18" s="2" t="s">
        <v>69</v>
      </c>
      <c r="I18" s="2" t="s">
        <v>49</v>
      </c>
      <c r="J18" s="2" t="s">
        <v>153</v>
      </c>
      <c r="K18" s="2"/>
      <c r="L18" s="2" t="s">
        <v>93</v>
      </c>
      <c r="M18" s="2" t="s">
        <v>154</v>
      </c>
      <c r="N18" s="2" t="s">
        <v>86</v>
      </c>
      <c r="O18" s="2" t="s">
        <v>55</v>
      </c>
      <c r="P18" s="2" t="s">
        <v>155</v>
      </c>
      <c r="Q18" s="2" t="s">
        <v>97</v>
      </c>
      <c r="R18" s="2"/>
      <c r="S18" s="2"/>
      <c r="T18" s="2" t="s">
        <v>61</v>
      </c>
      <c r="U18" s="2" t="s">
        <v>61</v>
      </c>
      <c r="V18" s="2" t="s">
        <v>58</v>
      </c>
      <c r="W18" s="2"/>
      <c r="X18" s="2" t="s">
        <v>59</v>
      </c>
      <c r="Y18" s="2" t="s">
        <v>59</v>
      </c>
      <c r="Z18" s="2" t="s">
        <v>59</v>
      </c>
      <c r="AA18" s="2"/>
      <c r="AB18" s="2"/>
      <c r="AC18" s="2" t="s">
        <v>61</v>
      </c>
      <c r="AD18" s="2" t="s">
        <v>59</v>
      </c>
      <c r="AE18" s="2" t="s">
        <v>60</v>
      </c>
      <c r="AF18" s="2"/>
      <c r="AG18" s="2" t="s">
        <v>59</v>
      </c>
      <c r="AH18" s="2" t="s">
        <v>62</v>
      </c>
      <c r="AI18" s="4" t="s">
        <v>156</v>
      </c>
      <c r="AJ18" s="2" t="s">
        <v>157</v>
      </c>
      <c r="AK18" s="2" t="s">
        <v>158</v>
      </c>
      <c r="AL18" s="5">
        <v>4</v>
      </c>
      <c r="AM18" s="5">
        <v>3</v>
      </c>
      <c r="AN18">
        <v>8</v>
      </c>
      <c r="AO18">
        <v>0.8</v>
      </c>
      <c r="AP18">
        <v>4</v>
      </c>
      <c r="AQ18">
        <v>0</v>
      </c>
      <c r="AR18" s="2" t="s">
        <v>66</v>
      </c>
      <c r="AS18" s="2" t="s">
        <v>65</v>
      </c>
      <c r="AT18">
        <f>IFERROR(ROUND(IF(Tableau_query__18[[#This Row],[Sous famille]]&lt;&gt;"",VLOOKUP(Tableau_query__18[[#This Row],[Sous famille]],'A013 TCD'!G:H,2,FALSE),VLOOKUP(Tableau_query__18[[#This Row],[Famille d''achat]],'A013 TCD'!D:E,2,FALSE))/1000,0),"")</f>
        <v>738</v>
      </c>
    </row>
    <row r="19" spans="1:46" hidden="1" x14ac:dyDescent="0.25">
      <c r="A19" s="1">
        <v>23</v>
      </c>
      <c r="B19" s="2" t="s">
        <v>160</v>
      </c>
      <c r="C19" s="3"/>
      <c r="D19" s="2" t="s">
        <v>161</v>
      </c>
      <c r="E19" s="2" t="s">
        <v>143</v>
      </c>
      <c r="F19" s="2" t="s">
        <v>148</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4"/>
      <c r="AJ19" s="2"/>
      <c r="AK19" s="2"/>
      <c r="AL19" s="5"/>
      <c r="AM19" s="5"/>
      <c r="AR19" s="2" t="s">
        <v>66</v>
      </c>
      <c r="AS19" s="2" t="s">
        <v>65</v>
      </c>
      <c r="AT19">
        <f>IFERROR(ROUND(IF(Tableau_query__18[[#This Row],[Sous famille]]&lt;&gt;"",VLOOKUP(Tableau_query__18[[#This Row],[Sous famille]],'A013 TCD'!G:H,2,FALSE),VLOOKUP(Tableau_query__18[[#This Row],[Famille d''achat]],'A013 TCD'!D:E,2,FALSE))/1000,0),"")</f>
        <v>231</v>
      </c>
    </row>
    <row r="20" spans="1:46" hidden="1" x14ac:dyDescent="0.25">
      <c r="A20" s="1">
        <v>24</v>
      </c>
      <c r="B20" s="2" t="s">
        <v>162</v>
      </c>
      <c r="C20" s="3"/>
      <c r="D20" s="2" t="s">
        <v>163</v>
      </c>
      <c r="E20" s="2" t="s">
        <v>143</v>
      </c>
      <c r="F20" s="2" t="s">
        <v>145</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4"/>
      <c r="AJ20" s="2"/>
      <c r="AK20" s="2"/>
      <c r="AL20" s="5">
        <v>0</v>
      </c>
      <c r="AM20" s="5">
        <v>0</v>
      </c>
      <c r="AN20">
        <v>0</v>
      </c>
      <c r="AO20">
        <v>0</v>
      </c>
      <c r="AP20">
        <v>0</v>
      </c>
      <c r="AQ20">
        <v>0</v>
      </c>
      <c r="AR20" s="2" t="s">
        <v>66</v>
      </c>
      <c r="AS20" s="2" t="s">
        <v>65</v>
      </c>
      <c r="AT20">
        <f>IFERROR(ROUND(IF(Tableau_query__18[[#This Row],[Sous famille]]&lt;&gt;"",VLOOKUP(Tableau_query__18[[#This Row],[Sous famille]],'A013 TCD'!G:H,2,FALSE),VLOOKUP(Tableau_query__18[[#This Row],[Famille d''achat]],'A013 TCD'!D:E,2,FALSE))/1000,0),"")</f>
        <v>65</v>
      </c>
    </row>
    <row r="21" spans="1:46" hidden="1" x14ac:dyDescent="0.25">
      <c r="A21" s="1">
        <v>25</v>
      </c>
      <c r="B21" s="2" t="s">
        <v>164</v>
      </c>
      <c r="C21" s="3"/>
      <c r="D21" s="2" t="s">
        <v>165</v>
      </c>
      <c r="E21" s="2" t="s">
        <v>143</v>
      </c>
      <c r="F21" s="2" t="s">
        <v>145</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4"/>
      <c r="AJ21" s="2"/>
      <c r="AK21" s="2"/>
      <c r="AL21" s="5"/>
      <c r="AM21" s="5"/>
      <c r="AR21" s="2" t="s">
        <v>66</v>
      </c>
      <c r="AS21" s="2" t="s">
        <v>65</v>
      </c>
      <c r="AT21">
        <f>IFERROR(ROUND(IF(Tableau_query__18[[#This Row],[Sous famille]]&lt;&gt;"",VLOOKUP(Tableau_query__18[[#This Row],[Sous famille]],'A013 TCD'!G:H,2,FALSE),VLOOKUP(Tableau_query__18[[#This Row],[Famille d''achat]],'A013 TCD'!D:E,2,FALSE))/1000,0),"")</f>
        <v>988</v>
      </c>
    </row>
    <row r="22" spans="1:46" hidden="1" x14ac:dyDescent="0.25">
      <c r="A22" s="1">
        <v>26</v>
      </c>
      <c r="B22" s="2" t="s">
        <v>166</v>
      </c>
      <c r="C22" s="3"/>
      <c r="D22" s="2" t="s">
        <v>167</v>
      </c>
      <c r="E22" s="2" t="s">
        <v>143</v>
      </c>
      <c r="F22" s="2" t="s">
        <v>145</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4"/>
      <c r="AJ22" s="2"/>
      <c r="AK22" s="2"/>
      <c r="AL22" s="5"/>
      <c r="AM22" s="5"/>
      <c r="AR22" s="2" t="s">
        <v>66</v>
      </c>
      <c r="AS22" s="2" t="s">
        <v>65</v>
      </c>
      <c r="AT22">
        <f>IFERROR(ROUND(IF(Tableau_query__18[[#This Row],[Sous famille]]&lt;&gt;"",VLOOKUP(Tableau_query__18[[#This Row],[Sous famille]],'A013 TCD'!G:H,2,FALSE),VLOOKUP(Tableau_query__18[[#This Row],[Famille d''achat]],'A013 TCD'!D:E,2,FALSE))/1000,0),"")</f>
        <v>570</v>
      </c>
    </row>
    <row r="23" spans="1:46" hidden="1" x14ac:dyDescent="0.25">
      <c r="A23" s="1">
        <v>27</v>
      </c>
      <c r="B23" s="2" t="s">
        <v>168</v>
      </c>
      <c r="C23" s="3"/>
      <c r="D23" s="2" t="s">
        <v>169</v>
      </c>
      <c r="E23" s="2" t="s">
        <v>143</v>
      </c>
      <c r="F23" s="2" t="s">
        <v>148</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4"/>
      <c r="AJ23" s="2"/>
      <c r="AK23" s="2"/>
      <c r="AL23" s="5"/>
      <c r="AM23" s="5"/>
      <c r="AR23" s="2" t="s">
        <v>66</v>
      </c>
      <c r="AS23" s="2" t="s">
        <v>65</v>
      </c>
      <c r="AT23">
        <f>IFERROR(ROUND(IF(Tableau_query__18[[#This Row],[Sous famille]]&lt;&gt;"",VLOOKUP(Tableau_query__18[[#This Row],[Sous famille]],'A013 TCD'!G:H,2,FALSE),VLOOKUP(Tableau_query__18[[#This Row],[Famille d''achat]],'A013 TCD'!D:E,2,FALSE))/1000,0),"")</f>
        <v>11</v>
      </c>
    </row>
    <row r="24" spans="1:46" hidden="1" x14ac:dyDescent="0.25">
      <c r="A24" s="1">
        <v>28</v>
      </c>
      <c r="B24" s="2" t="s">
        <v>170</v>
      </c>
      <c r="C24" s="3"/>
      <c r="D24" s="2" t="s">
        <v>171</v>
      </c>
      <c r="E24" s="2" t="s">
        <v>143</v>
      </c>
      <c r="F24" s="2" t="s">
        <v>148</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4"/>
      <c r="AJ24" s="2"/>
      <c r="AK24" s="2"/>
      <c r="AL24" s="5"/>
      <c r="AM24" s="5"/>
      <c r="AR24" s="2" t="s">
        <v>66</v>
      </c>
      <c r="AS24" s="2" t="s">
        <v>65</v>
      </c>
      <c r="AT24">
        <f>IFERROR(ROUND(IF(Tableau_query__18[[#This Row],[Sous famille]]&lt;&gt;"",VLOOKUP(Tableau_query__18[[#This Row],[Sous famille]],'A013 TCD'!G:H,2,FALSE),VLOOKUP(Tableau_query__18[[#This Row],[Famille d''achat]],'A013 TCD'!D:E,2,FALSE))/1000,0),"")</f>
        <v>108</v>
      </c>
    </row>
    <row r="25" spans="1:46" hidden="1" x14ac:dyDescent="0.25">
      <c r="A25" s="1">
        <v>29</v>
      </c>
      <c r="B25" s="2" t="s">
        <v>172</v>
      </c>
      <c r="C25" s="3"/>
      <c r="D25" s="2" t="s">
        <v>173</v>
      </c>
      <c r="E25" s="2" t="s">
        <v>143</v>
      </c>
      <c r="F25" s="2" t="s">
        <v>148</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4"/>
      <c r="AJ25" s="2"/>
      <c r="AK25" s="2"/>
      <c r="AL25" s="5"/>
      <c r="AM25" s="5"/>
      <c r="AR25" s="2" t="s">
        <v>66</v>
      </c>
      <c r="AS25" s="2" t="s">
        <v>65</v>
      </c>
      <c r="AT25">
        <f>IFERROR(ROUND(IF(Tableau_query__18[[#This Row],[Sous famille]]&lt;&gt;"",VLOOKUP(Tableau_query__18[[#This Row],[Sous famille]],'A013 TCD'!G:H,2,FALSE),VLOOKUP(Tableau_query__18[[#This Row],[Famille d''achat]],'A013 TCD'!D:E,2,FALSE))/1000,0),"")</f>
        <v>673</v>
      </c>
    </row>
    <row r="26" spans="1:46" hidden="1" x14ac:dyDescent="0.25">
      <c r="A26" s="1">
        <v>30</v>
      </c>
      <c r="B26" s="2" t="s">
        <v>174</v>
      </c>
      <c r="C26" s="3"/>
      <c r="D26" s="2" t="s">
        <v>175</v>
      </c>
      <c r="E26" s="2" t="s">
        <v>143</v>
      </c>
      <c r="F26" s="2" t="s">
        <v>145</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4"/>
      <c r="AJ26" s="2"/>
      <c r="AK26" s="2"/>
      <c r="AL26" s="5"/>
      <c r="AM26" s="5"/>
      <c r="AR26" s="2" t="s">
        <v>66</v>
      </c>
      <c r="AS26" s="2" t="s">
        <v>65</v>
      </c>
      <c r="AT26">
        <f>IFERROR(ROUND(IF(Tableau_query__18[[#This Row],[Sous famille]]&lt;&gt;"",VLOOKUP(Tableau_query__18[[#This Row],[Sous famille]],'A013 TCD'!G:H,2,FALSE),VLOOKUP(Tableau_query__18[[#This Row],[Famille d''achat]],'A013 TCD'!D:E,2,FALSE))/1000,0),"")</f>
        <v>269</v>
      </c>
    </row>
    <row r="27" spans="1:46" hidden="1" x14ac:dyDescent="0.25">
      <c r="A27" s="1">
        <v>31</v>
      </c>
      <c r="B27" s="2" t="s">
        <v>176</v>
      </c>
      <c r="C27" s="3"/>
      <c r="D27" s="2" t="s">
        <v>177</v>
      </c>
      <c r="E27" s="2" t="s">
        <v>143</v>
      </c>
      <c r="F27" s="2" t="s">
        <v>148</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4"/>
      <c r="AJ27" s="2"/>
      <c r="AK27" s="2"/>
      <c r="AL27" s="5"/>
      <c r="AM27" s="5"/>
      <c r="AR27" s="2" t="s">
        <v>66</v>
      </c>
      <c r="AS27" s="2" t="s">
        <v>65</v>
      </c>
      <c r="AT27">
        <f>IFERROR(ROUND(IF(Tableau_query__18[[#This Row],[Sous famille]]&lt;&gt;"",VLOOKUP(Tableau_query__18[[#This Row],[Sous famille]],'A013 TCD'!G:H,2,FALSE),VLOOKUP(Tableau_query__18[[#This Row],[Famille d''achat]],'A013 TCD'!D:E,2,FALSE))/1000,0),"")</f>
        <v>482</v>
      </c>
    </row>
    <row r="28" spans="1:46" hidden="1" x14ac:dyDescent="0.25">
      <c r="A28" s="1">
        <v>32</v>
      </c>
      <c r="B28" s="2" t="s">
        <v>178</v>
      </c>
      <c r="C28" s="3"/>
      <c r="D28" s="2" t="s">
        <v>179</v>
      </c>
      <c r="E28" s="2" t="s">
        <v>143</v>
      </c>
      <c r="F28" s="2" t="s">
        <v>145</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4"/>
      <c r="AJ28" s="2"/>
      <c r="AK28" s="2"/>
      <c r="AL28" s="5"/>
      <c r="AM28" s="5"/>
      <c r="AR28" s="2" t="s">
        <v>66</v>
      </c>
      <c r="AS28" s="2" t="s">
        <v>65</v>
      </c>
      <c r="AT28">
        <f>IFERROR(ROUND(IF(Tableau_query__18[[#This Row],[Sous famille]]&lt;&gt;"",VLOOKUP(Tableau_query__18[[#This Row],[Sous famille]],'A013 TCD'!G:H,2,FALSE),VLOOKUP(Tableau_query__18[[#This Row],[Famille d''achat]],'A013 TCD'!D:E,2,FALSE))/1000,0),"")</f>
        <v>293</v>
      </c>
    </row>
    <row r="29" spans="1:46" hidden="1" x14ac:dyDescent="0.25">
      <c r="A29" s="1">
        <v>33</v>
      </c>
      <c r="B29" s="2" t="s">
        <v>180</v>
      </c>
      <c r="C29" s="3"/>
      <c r="D29" s="2" t="s">
        <v>181</v>
      </c>
      <c r="E29" s="2" t="s">
        <v>143</v>
      </c>
      <c r="F29" s="2" t="s">
        <v>145</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4"/>
      <c r="AJ29" s="2"/>
      <c r="AK29" s="2"/>
      <c r="AL29" s="5"/>
      <c r="AM29" s="5"/>
      <c r="AR29" s="2" t="s">
        <v>66</v>
      </c>
      <c r="AS29" s="2" t="s">
        <v>65</v>
      </c>
      <c r="AT29">
        <f>IFERROR(ROUND(IF(Tableau_query__18[[#This Row],[Sous famille]]&lt;&gt;"",VLOOKUP(Tableau_query__18[[#This Row],[Sous famille]],'A013 TCD'!G:H,2,FALSE),VLOOKUP(Tableau_query__18[[#This Row],[Famille d''achat]],'A013 TCD'!D:E,2,FALSE))/1000,0),"")</f>
        <v>1262</v>
      </c>
    </row>
    <row r="30" spans="1:46" hidden="1" x14ac:dyDescent="0.25">
      <c r="A30" s="1">
        <v>34</v>
      </c>
      <c r="B30" s="2" t="s">
        <v>182</v>
      </c>
      <c r="C30" s="3"/>
      <c r="D30" s="2" t="s">
        <v>183</v>
      </c>
      <c r="E30" s="2" t="s">
        <v>143</v>
      </c>
      <c r="F30" s="2" t="s">
        <v>145</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4"/>
      <c r="AJ30" s="2"/>
      <c r="AK30" s="2"/>
      <c r="AL30" s="5"/>
      <c r="AM30" s="5"/>
      <c r="AR30" s="2" t="s">
        <v>66</v>
      </c>
      <c r="AS30" s="2" t="s">
        <v>65</v>
      </c>
      <c r="AT30">
        <f>IFERROR(ROUND(IF(Tableau_query__18[[#This Row],[Sous famille]]&lt;&gt;"",VLOOKUP(Tableau_query__18[[#This Row],[Sous famille]],'A013 TCD'!G:H,2,FALSE),VLOOKUP(Tableau_query__18[[#This Row],[Famille d''achat]],'A013 TCD'!D:E,2,FALSE))/1000,0),"")</f>
        <v>125</v>
      </c>
    </row>
    <row r="31" spans="1:46" hidden="1" x14ac:dyDescent="0.25">
      <c r="A31" s="1">
        <v>35</v>
      </c>
      <c r="B31" s="2" t="s">
        <v>184</v>
      </c>
      <c r="C31" s="3"/>
      <c r="D31" s="2" t="s">
        <v>185</v>
      </c>
      <c r="E31" s="2" t="s">
        <v>143</v>
      </c>
      <c r="F31" s="2" t="s">
        <v>159</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4"/>
      <c r="AJ31" s="2"/>
      <c r="AK31" s="2"/>
      <c r="AL31" s="5"/>
      <c r="AM31" s="5"/>
      <c r="AR31" s="2" t="s">
        <v>66</v>
      </c>
      <c r="AS31" s="2" t="s">
        <v>65</v>
      </c>
      <c r="AT31">
        <f>IFERROR(ROUND(IF(Tableau_query__18[[#This Row],[Sous famille]]&lt;&gt;"",VLOOKUP(Tableau_query__18[[#This Row],[Sous famille]],'A013 TCD'!G:H,2,FALSE),VLOOKUP(Tableau_query__18[[#This Row],[Famille d''achat]],'A013 TCD'!D:E,2,FALSE))/1000,0),"")</f>
        <v>1265</v>
      </c>
    </row>
    <row r="32" spans="1:46" hidden="1" x14ac:dyDescent="0.25">
      <c r="A32" s="1">
        <v>36</v>
      </c>
      <c r="B32" s="2" t="s">
        <v>186</v>
      </c>
      <c r="C32" s="3"/>
      <c r="D32" s="2" t="s">
        <v>187</v>
      </c>
      <c r="E32" s="2" t="s">
        <v>143</v>
      </c>
      <c r="F32" s="2" t="s">
        <v>159</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4"/>
      <c r="AJ32" s="2"/>
      <c r="AK32" s="2"/>
      <c r="AL32" s="5"/>
      <c r="AM32" s="5"/>
      <c r="AR32" s="2" t="s">
        <v>66</v>
      </c>
      <c r="AS32" s="2" t="s">
        <v>65</v>
      </c>
      <c r="AT32">
        <f>IFERROR(ROUND(IF(Tableau_query__18[[#This Row],[Sous famille]]&lt;&gt;"",VLOOKUP(Tableau_query__18[[#This Row],[Sous famille]],'A013 TCD'!G:H,2,FALSE),VLOOKUP(Tableau_query__18[[#This Row],[Famille d''achat]],'A013 TCD'!D:E,2,FALSE))/1000,0),"")</f>
        <v>224</v>
      </c>
    </row>
    <row r="33" spans="1:46" hidden="1" x14ac:dyDescent="0.25">
      <c r="A33" s="1">
        <v>37</v>
      </c>
      <c r="B33" s="2" t="s">
        <v>188</v>
      </c>
      <c r="C33" s="3"/>
      <c r="D33" s="2" t="s">
        <v>189</v>
      </c>
      <c r="E33" s="2" t="s">
        <v>143</v>
      </c>
      <c r="F33" s="2" t="s">
        <v>148</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4"/>
      <c r="AJ33" s="2"/>
      <c r="AK33" s="2"/>
      <c r="AL33" s="5"/>
      <c r="AM33" s="5"/>
      <c r="AR33" s="2" t="s">
        <v>66</v>
      </c>
      <c r="AS33" s="2" t="s">
        <v>65</v>
      </c>
      <c r="AT33">
        <f>IFERROR(ROUND(IF(Tableau_query__18[[#This Row],[Sous famille]]&lt;&gt;"",VLOOKUP(Tableau_query__18[[#This Row],[Sous famille]],'A013 TCD'!G:H,2,FALSE),VLOOKUP(Tableau_query__18[[#This Row],[Famille d''achat]],'A013 TCD'!D:E,2,FALSE))/1000,0),"")</f>
        <v>326</v>
      </c>
    </row>
    <row r="34" spans="1:46" hidden="1" x14ac:dyDescent="0.25">
      <c r="A34" s="1">
        <v>38</v>
      </c>
      <c r="B34" s="2" t="s">
        <v>190</v>
      </c>
      <c r="C34" s="3"/>
      <c r="D34" s="2" t="s">
        <v>191</v>
      </c>
      <c r="E34" s="2" t="s">
        <v>143</v>
      </c>
      <c r="F34" s="2" t="s">
        <v>148</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4"/>
      <c r="AJ34" s="2"/>
      <c r="AK34" s="2"/>
      <c r="AL34" s="5"/>
      <c r="AM34" s="5"/>
      <c r="AR34" s="2" t="s">
        <v>66</v>
      </c>
      <c r="AS34" s="2" t="s">
        <v>65</v>
      </c>
      <c r="AT34">
        <f>IFERROR(ROUND(IF(Tableau_query__18[[#This Row],[Sous famille]]&lt;&gt;"",VLOOKUP(Tableau_query__18[[#This Row],[Sous famille]],'A013 TCD'!G:H,2,FALSE),VLOOKUP(Tableau_query__18[[#This Row],[Famille d''achat]],'A013 TCD'!D:E,2,FALSE))/1000,0),"")</f>
        <v>1787</v>
      </c>
    </row>
    <row r="35" spans="1:46" hidden="1" x14ac:dyDescent="0.25">
      <c r="A35" s="1">
        <v>39</v>
      </c>
      <c r="B35" s="2" t="s">
        <v>192</v>
      </c>
      <c r="C35" s="3"/>
      <c r="D35" s="2" t="s">
        <v>193</v>
      </c>
      <c r="E35" s="2" t="s">
        <v>143</v>
      </c>
      <c r="F35" s="2" t="s">
        <v>145</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4"/>
      <c r="AJ35" s="2"/>
      <c r="AK35" s="2"/>
      <c r="AL35" s="5"/>
      <c r="AM35" s="5"/>
      <c r="AR35" s="2" t="s">
        <v>66</v>
      </c>
      <c r="AS35" s="2" t="s">
        <v>65</v>
      </c>
      <c r="AT35">
        <f>IFERROR(ROUND(IF(Tableau_query__18[[#This Row],[Sous famille]]&lt;&gt;"",VLOOKUP(Tableau_query__18[[#This Row],[Sous famille]],'A013 TCD'!G:H,2,FALSE),VLOOKUP(Tableau_query__18[[#This Row],[Famille d''achat]],'A013 TCD'!D:E,2,FALSE))/1000,0),"")</f>
        <v>766</v>
      </c>
    </row>
    <row r="36" spans="1:46" hidden="1" x14ac:dyDescent="0.25">
      <c r="A36" s="1">
        <v>40</v>
      </c>
      <c r="B36" s="2" t="s">
        <v>194</v>
      </c>
      <c r="C36" s="3"/>
      <c r="D36" s="2" t="s">
        <v>195</v>
      </c>
      <c r="E36" s="2" t="s">
        <v>143</v>
      </c>
      <c r="F36" s="2" t="s">
        <v>159</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4"/>
      <c r="AJ36" s="2"/>
      <c r="AK36" s="2"/>
      <c r="AL36" s="5"/>
      <c r="AM36" s="5"/>
      <c r="AR36" s="2" t="s">
        <v>66</v>
      </c>
      <c r="AS36" s="2" t="s">
        <v>65</v>
      </c>
      <c r="AT36">
        <f>IFERROR(ROUND(IF(Tableau_query__18[[#This Row],[Sous famille]]&lt;&gt;"",VLOOKUP(Tableau_query__18[[#This Row],[Sous famille]],'A013 TCD'!G:H,2,FALSE),VLOOKUP(Tableau_query__18[[#This Row],[Famille d''achat]],'A013 TCD'!D:E,2,FALSE))/1000,0),"")</f>
        <v>67</v>
      </c>
    </row>
    <row r="37" spans="1:46" hidden="1" x14ac:dyDescent="0.25">
      <c r="A37" s="1">
        <v>41</v>
      </c>
      <c r="B37" s="2" t="s">
        <v>196</v>
      </c>
      <c r="C37" s="3"/>
      <c r="D37" s="2" t="s">
        <v>197</v>
      </c>
      <c r="E37" s="2" t="s">
        <v>143</v>
      </c>
      <c r="F37" s="2" t="s">
        <v>145</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4"/>
      <c r="AJ37" s="2"/>
      <c r="AK37" s="2"/>
      <c r="AL37" s="5"/>
      <c r="AM37" s="5"/>
      <c r="AR37" s="2" t="s">
        <v>66</v>
      </c>
      <c r="AS37" s="2" t="s">
        <v>65</v>
      </c>
      <c r="AT37">
        <f>IFERROR(ROUND(IF(Tableau_query__18[[#This Row],[Sous famille]]&lt;&gt;"",VLOOKUP(Tableau_query__18[[#This Row],[Sous famille]],'A013 TCD'!G:H,2,FALSE),VLOOKUP(Tableau_query__18[[#This Row],[Famille d''achat]],'A013 TCD'!D:E,2,FALSE))/1000,0),"")</f>
        <v>3358</v>
      </c>
    </row>
    <row r="38" spans="1:46" hidden="1" x14ac:dyDescent="0.25">
      <c r="A38" s="1">
        <v>42</v>
      </c>
      <c r="B38" s="2" t="s">
        <v>198</v>
      </c>
      <c r="C38" s="3"/>
      <c r="D38" s="2" t="s">
        <v>199</v>
      </c>
      <c r="E38" s="2" t="s">
        <v>143</v>
      </c>
      <c r="F38" s="2" t="s">
        <v>159</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4"/>
      <c r="AJ38" s="2"/>
      <c r="AK38" s="2"/>
      <c r="AL38" s="5"/>
      <c r="AM38" s="5"/>
      <c r="AR38" s="2" t="s">
        <v>66</v>
      </c>
      <c r="AS38" s="2" t="s">
        <v>65</v>
      </c>
      <c r="AT38" t="str">
        <f>IFERROR(ROUND(IF(Tableau_query__18[[#This Row],[Sous famille]]&lt;&gt;"",VLOOKUP(Tableau_query__18[[#This Row],[Sous famille]],'A013 TCD'!G:H,2,FALSE),VLOOKUP(Tableau_query__18[[#This Row],[Famille d''achat]],'A013 TCD'!D:E,2,FALSE))/1000,0),"")</f>
        <v/>
      </c>
    </row>
    <row r="39" spans="1:46" hidden="1" x14ac:dyDescent="0.25">
      <c r="A39" s="1">
        <v>43</v>
      </c>
      <c r="B39" s="2" t="s">
        <v>200</v>
      </c>
      <c r="C39" s="3"/>
      <c r="D39" s="2" t="s">
        <v>201</v>
      </c>
      <c r="E39" s="2" t="s">
        <v>143</v>
      </c>
      <c r="F39" s="2" t="s">
        <v>159</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4"/>
      <c r="AJ39" s="2"/>
      <c r="AK39" s="2"/>
      <c r="AL39" s="5"/>
      <c r="AM39" s="5"/>
      <c r="AR39" s="2" t="s">
        <v>66</v>
      </c>
      <c r="AS39" s="2" t="s">
        <v>65</v>
      </c>
      <c r="AT39">
        <f>IFERROR(ROUND(IF(Tableau_query__18[[#This Row],[Sous famille]]&lt;&gt;"",VLOOKUP(Tableau_query__18[[#This Row],[Sous famille]],'A013 TCD'!G:H,2,FALSE),VLOOKUP(Tableau_query__18[[#This Row],[Famille d''achat]],'A013 TCD'!D:E,2,FALSE))/1000,0),"")</f>
        <v>97</v>
      </c>
    </row>
    <row r="40" spans="1:46" hidden="1" x14ac:dyDescent="0.25">
      <c r="A40" s="1">
        <v>44</v>
      </c>
      <c r="B40" s="2" t="s">
        <v>202</v>
      </c>
      <c r="C40" s="3"/>
      <c r="D40" s="2" t="s">
        <v>203</v>
      </c>
      <c r="E40" s="2" t="s">
        <v>143</v>
      </c>
      <c r="F40" s="2" t="s">
        <v>159</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4"/>
      <c r="AJ40" s="2"/>
      <c r="AK40" s="2"/>
      <c r="AL40" s="5"/>
      <c r="AM40" s="5"/>
      <c r="AR40" s="2" t="s">
        <v>66</v>
      </c>
      <c r="AS40" s="2" t="s">
        <v>65</v>
      </c>
      <c r="AT40">
        <f>IFERROR(ROUND(IF(Tableau_query__18[[#This Row],[Sous famille]]&lt;&gt;"",VLOOKUP(Tableau_query__18[[#This Row],[Sous famille]],'A013 TCD'!G:H,2,FALSE),VLOOKUP(Tableau_query__18[[#This Row],[Famille d''achat]],'A013 TCD'!D:E,2,FALSE))/1000,0),"")</f>
        <v>69</v>
      </c>
    </row>
    <row r="41" spans="1:46" hidden="1" x14ac:dyDescent="0.25">
      <c r="A41" s="1">
        <v>45</v>
      </c>
      <c r="B41" s="2" t="s">
        <v>204</v>
      </c>
      <c r="C41" s="3"/>
      <c r="D41" s="2" t="s">
        <v>205</v>
      </c>
      <c r="E41" s="2" t="s">
        <v>143</v>
      </c>
      <c r="F41" s="2" t="s">
        <v>145</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4"/>
      <c r="AJ41" s="2"/>
      <c r="AK41" s="2"/>
      <c r="AL41" s="5"/>
      <c r="AM41" s="5"/>
      <c r="AR41" s="2" t="s">
        <v>66</v>
      </c>
      <c r="AS41" s="2" t="s">
        <v>65</v>
      </c>
      <c r="AT41">
        <f>IFERROR(ROUND(IF(Tableau_query__18[[#This Row],[Sous famille]]&lt;&gt;"",VLOOKUP(Tableau_query__18[[#This Row],[Sous famille]],'A013 TCD'!G:H,2,FALSE),VLOOKUP(Tableau_query__18[[#This Row],[Famille d''achat]],'A013 TCD'!D:E,2,FALSE))/1000,0),"")</f>
        <v>1631</v>
      </c>
    </row>
    <row r="42" spans="1:46" hidden="1" x14ac:dyDescent="0.25">
      <c r="A42" s="1">
        <v>46</v>
      </c>
      <c r="B42" s="2" t="s">
        <v>206</v>
      </c>
      <c r="C42" s="3"/>
      <c r="D42" s="2" t="s">
        <v>207</v>
      </c>
      <c r="E42" s="2" t="s">
        <v>143</v>
      </c>
      <c r="F42" s="2" t="s">
        <v>145</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4"/>
      <c r="AJ42" s="2"/>
      <c r="AK42" s="2"/>
      <c r="AL42" s="5"/>
      <c r="AM42" s="5"/>
      <c r="AR42" s="2" t="s">
        <v>66</v>
      </c>
      <c r="AS42" s="2" t="s">
        <v>65</v>
      </c>
      <c r="AT42">
        <f>IFERROR(ROUND(IF(Tableau_query__18[[#This Row],[Sous famille]]&lt;&gt;"",VLOOKUP(Tableau_query__18[[#This Row],[Sous famille]],'A013 TCD'!G:H,2,FALSE),VLOOKUP(Tableau_query__18[[#This Row],[Famille d''achat]],'A013 TCD'!D:E,2,FALSE))/1000,0),"")</f>
        <v>881</v>
      </c>
    </row>
    <row r="43" spans="1:46" hidden="1" x14ac:dyDescent="0.25">
      <c r="A43" s="1">
        <v>47</v>
      </c>
      <c r="B43" s="2" t="s">
        <v>208</v>
      </c>
      <c r="C43" s="3"/>
      <c r="D43" s="2" t="s">
        <v>209</v>
      </c>
      <c r="E43" s="2" t="s">
        <v>143</v>
      </c>
      <c r="F43" s="2" t="s">
        <v>159</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4"/>
      <c r="AJ43" s="2"/>
      <c r="AK43" s="2"/>
      <c r="AL43" s="5"/>
      <c r="AM43" s="5"/>
      <c r="AR43" s="2" t="s">
        <v>66</v>
      </c>
      <c r="AS43" s="2" t="s">
        <v>65</v>
      </c>
      <c r="AT43">
        <f>IFERROR(ROUND(IF(Tableau_query__18[[#This Row],[Sous famille]]&lt;&gt;"",VLOOKUP(Tableau_query__18[[#This Row],[Sous famille]],'A013 TCD'!G:H,2,FALSE),VLOOKUP(Tableau_query__18[[#This Row],[Famille d''achat]],'A013 TCD'!D:E,2,FALSE))/1000,0),"")</f>
        <v>1530</v>
      </c>
    </row>
    <row r="44" spans="1:46" hidden="1" x14ac:dyDescent="0.25">
      <c r="A44" s="1">
        <v>48</v>
      </c>
      <c r="B44" s="2" t="s">
        <v>210</v>
      </c>
      <c r="C44" s="3"/>
      <c r="D44" s="2" t="s">
        <v>211</v>
      </c>
      <c r="E44" s="2" t="s">
        <v>143</v>
      </c>
      <c r="F44" s="2" t="s">
        <v>145</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4"/>
      <c r="AJ44" s="2"/>
      <c r="AK44" s="2"/>
      <c r="AL44" s="5"/>
      <c r="AM44" s="5"/>
      <c r="AR44" s="2" t="s">
        <v>66</v>
      </c>
      <c r="AS44" s="2" t="s">
        <v>65</v>
      </c>
      <c r="AT44">
        <f>IFERROR(ROUND(IF(Tableau_query__18[[#This Row],[Sous famille]]&lt;&gt;"",VLOOKUP(Tableau_query__18[[#This Row],[Sous famille]],'A013 TCD'!G:H,2,FALSE),VLOOKUP(Tableau_query__18[[#This Row],[Famille d''achat]],'A013 TCD'!D:E,2,FALSE))/1000,0),"")</f>
        <v>105</v>
      </c>
    </row>
    <row r="45" spans="1:46" hidden="1" x14ac:dyDescent="0.25">
      <c r="A45" s="1">
        <v>49</v>
      </c>
      <c r="B45" s="2" t="s">
        <v>212</v>
      </c>
      <c r="C45" s="3"/>
      <c r="D45" s="2" t="s">
        <v>213</v>
      </c>
      <c r="E45" s="2" t="s">
        <v>143</v>
      </c>
      <c r="F45" s="2" t="s">
        <v>148</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4"/>
      <c r="AJ45" s="2"/>
      <c r="AK45" s="2"/>
      <c r="AL45" s="5"/>
      <c r="AM45" s="5"/>
      <c r="AR45" s="2" t="s">
        <v>66</v>
      </c>
      <c r="AS45" s="2" t="s">
        <v>65</v>
      </c>
      <c r="AT45">
        <f>IFERROR(ROUND(IF(Tableau_query__18[[#This Row],[Sous famille]]&lt;&gt;"",VLOOKUP(Tableau_query__18[[#This Row],[Sous famille]],'A013 TCD'!G:H,2,FALSE),VLOOKUP(Tableau_query__18[[#This Row],[Famille d''achat]],'A013 TCD'!D:E,2,FALSE))/1000,0),"")</f>
        <v>20</v>
      </c>
    </row>
    <row r="46" spans="1:46" hidden="1" x14ac:dyDescent="0.25">
      <c r="A46" s="1">
        <v>50</v>
      </c>
      <c r="B46" s="2" t="s">
        <v>214</v>
      </c>
      <c r="C46" s="3"/>
      <c r="D46" s="2" t="s">
        <v>215</v>
      </c>
      <c r="E46" s="2" t="s">
        <v>143</v>
      </c>
      <c r="F46" s="2" t="s">
        <v>148</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4"/>
      <c r="AJ46" s="2"/>
      <c r="AK46" s="2"/>
      <c r="AL46" s="5"/>
      <c r="AM46" s="5"/>
      <c r="AR46" s="2" t="s">
        <v>66</v>
      </c>
      <c r="AS46" s="2" t="s">
        <v>65</v>
      </c>
      <c r="AT46">
        <f>IFERROR(ROUND(IF(Tableau_query__18[[#This Row],[Sous famille]]&lt;&gt;"",VLOOKUP(Tableau_query__18[[#This Row],[Sous famille]],'A013 TCD'!G:H,2,FALSE),VLOOKUP(Tableau_query__18[[#This Row],[Famille d''achat]],'A013 TCD'!D:E,2,FALSE))/1000,0),"")</f>
        <v>689</v>
      </c>
    </row>
    <row r="47" spans="1:46" hidden="1" x14ac:dyDescent="0.25">
      <c r="A47" s="1">
        <v>51</v>
      </c>
      <c r="B47" s="2" t="s">
        <v>216</v>
      </c>
      <c r="C47" s="3"/>
      <c r="D47" s="2" t="s">
        <v>217</v>
      </c>
      <c r="E47" s="2" t="s">
        <v>143</v>
      </c>
      <c r="F47" s="2" t="s">
        <v>148</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4"/>
      <c r="AJ47" s="2"/>
      <c r="AK47" s="2"/>
      <c r="AL47" s="5"/>
      <c r="AM47" s="5"/>
      <c r="AR47" s="2" t="s">
        <v>66</v>
      </c>
      <c r="AS47" s="2" t="s">
        <v>65</v>
      </c>
      <c r="AT47">
        <f>IFERROR(ROUND(IF(Tableau_query__18[[#This Row],[Sous famille]]&lt;&gt;"",VLOOKUP(Tableau_query__18[[#This Row],[Sous famille]],'A013 TCD'!G:H,2,FALSE),VLOOKUP(Tableau_query__18[[#This Row],[Famille d''achat]],'A013 TCD'!D:E,2,FALSE))/1000,0),"")</f>
        <v>311</v>
      </c>
    </row>
    <row r="48" spans="1:46" hidden="1" x14ac:dyDescent="0.25">
      <c r="A48" s="1">
        <v>52</v>
      </c>
      <c r="B48" s="2" t="s">
        <v>218</v>
      </c>
      <c r="C48" s="3"/>
      <c r="D48" s="2" t="s">
        <v>219</v>
      </c>
      <c r="E48" s="2" t="s">
        <v>143</v>
      </c>
      <c r="F48" s="2" t="s">
        <v>148</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4"/>
      <c r="AJ48" s="2"/>
      <c r="AK48" s="2"/>
      <c r="AL48" s="5"/>
      <c r="AM48" s="5"/>
      <c r="AR48" s="2" t="s">
        <v>66</v>
      </c>
      <c r="AS48" s="2" t="s">
        <v>65</v>
      </c>
      <c r="AT48">
        <f>IFERROR(ROUND(IF(Tableau_query__18[[#This Row],[Sous famille]]&lt;&gt;"",VLOOKUP(Tableau_query__18[[#This Row],[Sous famille]],'A013 TCD'!G:H,2,FALSE),VLOOKUP(Tableau_query__18[[#This Row],[Famille d''achat]],'A013 TCD'!D:E,2,FALSE))/1000,0),"")</f>
        <v>23</v>
      </c>
    </row>
    <row r="49" spans="1:46" hidden="1" x14ac:dyDescent="0.25">
      <c r="A49" s="1">
        <v>53</v>
      </c>
      <c r="B49" s="2" t="s">
        <v>220</v>
      </c>
      <c r="C49" s="3"/>
      <c r="D49" s="2" t="s">
        <v>221</v>
      </c>
      <c r="E49" s="2" t="s">
        <v>143</v>
      </c>
      <c r="F49" s="2" t="s">
        <v>159</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4"/>
      <c r="AJ49" s="2"/>
      <c r="AK49" s="2"/>
      <c r="AL49" s="5"/>
      <c r="AM49" s="5"/>
      <c r="AR49" s="2" t="s">
        <v>66</v>
      </c>
      <c r="AS49" s="2" t="s">
        <v>65</v>
      </c>
      <c r="AT49">
        <f>IFERROR(ROUND(IF(Tableau_query__18[[#This Row],[Sous famille]]&lt;&gt;"",VLOOKUP(Tableau_query__18[[#This Row],[Sous famille]],'A013 TCD'!G:H,2,FALSE),VLOOKUP(Tableau_query__18[[#This Row],[Famille d''achat]],'A013 TCD'!D:E,2,FALSE))/1000,0),"")</f>
        <v>42</v>
      </c>
    </row>
    <row r="50" spans="1:46" hidden="1" x14ac:dyDescent="0.25">
      <c r="A50" s="1">
        <v>54</v>
      </c>
      <c r="B50" s="2" t="s">
        <v>222</v>
      </c>
      <c r="C50" s="3"/>
      <c r="D50" s="2" t="s">
        <v>223</v>
      </c>
      <c r="E50" s="2" t="s">
        <v>143</v>
      </c>
      <c r="F50" s="2" t="s">
        <v>159</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4"/>
      <c r="AJ50" s="2"/>
      <c r="AK50" s="2"/>
      <c r="AL50" s="5"/>
      <c r="AM50" s="5"/>
      <c r="AR50" s="2" t="s">
        <v>66</v>
      </c>
      <c r="AS50" s="2" t="s">
        <v>65</v>
      </c>
      <c r="AT50">
        <f>IFERROR(ROUND(IF(Tableau_query__18[[#This Row],[Sous famille]]&lt;&gt;"",VLOOKUP(Tableau_query__18[[#This Row],[Sous famille]],'A013 TCD'!G:H,2,FALSE),VLOOKUP(Tableau_query__18[[#This Row],[Famille d''achat]],'A013 TCD'!D:E,2,FALSE))/1000,0),"")</f>
        <v>72</v>
      </c>
    </row>
    <row r="51" spans="1:46" hidden="1" x14ac:dyDescent="0.25">
      <c r="A51" s="1">
        <v>55</v>
      </c>
      <c r="B51" s="2" t="s">
        <v>224</v>
      </c>
      <c r="C51" s="3"/>
      <c r="D51" s="2" t="s">
        <v>225</v>
      </c>
      <c r="E51" s="2" t="s">
        <v>143</v>
      </c>
      <c r="F51" s="2" t="s">
        <v>148</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4"/>
      <c r="AJ51" s="2"/>
      <c r="AK51" s="2"/>
      <c r="AL51" s="5"/>
      <c r="AM51" s="5"/>
      <c r="AR51" s="2" t="s">
        <v>66</v>
      </c>
      <c r="AS51" s="2" t="s">
        <v>65</v>
      </c>
      <c r="AT51">
        <f>IFERROR(ROUND(IF(Tableau_query__18[[#This Row],[Sous famille]]&lt;&gt;"",VLOOKUP(Tableau_query__18[[#This Row],[Sous famille]],'A013 TCD'!G:H,2,FALSE),VLOOKUP(Tableau_query__18[[#This Row],[Famille d''achat]],'A013 TCD'!D:E,2,FALSE))/1000,0),"")</f>
        <v>106</v>
      </c>
    </row>
    <row r="52" spans="1:46" hidden="1" x14ac:dyDescent="0.25">
      <c r="A52" s="1">
        <v>56</v>
      </c>
      <c r="B52" s="2" t="s">
        <v>226</v>
      </c>
      <c r="C52" s="3"/>
      <c r="D52" s="2" t="s">
        <v>227</v>
      </c>
      <c r="E52" s="2" t="s">
        <v>143</v>
      </c>
      <c r="F52" s="2" t="s">
        <v>148</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4"/>
      <c r="AJ52" s="2"/>
      <c r="AK52" s="2"/>
      <c r="AL52" s="5"/>
      <c r="AM52" s="5"/>
      <c r="AR52" s="2" t="s">
        <v>66</v>
      </c>
      <c r="AS52" s="2" t="s">
        <v>65</v>
      </c>
      <c r="AT52">
        <f>IFERROR(ROUND(IF(Tableau_query__18[[#This Row],[Sous famille]]&lt;&gt;"",VLOOKUP(Tableau_query__18[[#This Row],[Sous famille]],'A013 TCD'!G:H,2,FALSE),VLOOKUP(Tableau_query__18[[#This Row],[Famille d''achat]],'A013 TCD'!D:E,2,FALSE))/1000,0),"")</f>
        <v>686</v>
      </c>
    </row>
    <row r="53" spans="1:46" hidden="1" x14ac:dyDescent="0.25">
      <c r="A53" s="1">
        <v>57</v>
      </c>
      <c r="B53" s="2" t="s">
        <v>228</v>
      </c>
      <c r="C53" s="3"/>
      <c r="D53" s="2" t="s">
        <v>229</v>
      </c>
      <c r="E53" s="2" t="s">
        <v>143</v>
      </c>
      <c r="F53" s="2" t="s">
        <v>159</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4"/>
      <c r="AJ53" s="2"/>
      <c r="AK53" s="2"/>
      <c r="AL53" s="5"/>
      <c r="AM53" s="5"/>
      <c r="AR53" s="2" t="s">
        <v>66</v>
      </c>
      <c r="AS53" s="2" t="s">
        <v>65</v>
      </c>
      <c r="AT53">
        <f>IFERROR(ROUND(IF(Tableau_query__18[[#This Row],[Sous famille]]&lt;&gt;"",VLOOKUP(Tableau_query__18[[#This Row],[Sous famille]],'A013 TCD'!G:H,2,FALSE),VLOOKUP(Tableau_query__18[[#This Row],[Famille d''achat]],'A013 TCD'!D:E,2,FALSE))/1000,0),"")</f>
        <v>846</v>
      </c>
    </row>
    <row r="54" spans="1:46" hidden="1" x14ac:dyDescent="0.25">
      <c r="A54" s="1">
        <v>58</v>
      </c>
      <c r="B54" s="2" t="s">
        <v>230</v>
      </c>
      <c r="C54" s="3"/>
      <c r="D54" s="2" t="s">
        <v>231</v>
      </c>
      <c r="E54" s="2" t="s">
        <v>143</v>
      </c>
      <c r="F54" s="2" t="s">
        <v>148</v>
      </c>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4"/>
      <c r="AJ54" s="2"/>
      <c r="AK54" s="2"/>
      <c r="AL54" s="5"/>
      <c r="AM54" s="5"/>
      <c r="AR54" s="2" t="s">
        <v>66</v>
      </c>
      <c r="AS54" s="2" t="s">
        <v>65</v>
      </c>
      <c r="AT54">
        <f>IFERROR(ROUND(IF(Tableau_query__18[[#This Row],[Sous famille]]&lt;&gt;"",VLOOKUP(Tableau_query__18[[#This Row],[Sous famille]],'A013 TCD'!G:H,2,FALSE),VLOOKUP(Tableau_query__18[[#This Row],[Famille d''achat]],'A013 TCD'!D:E,2,FALSE))/1000,0),"")</f>
        <v>370</v>
      </c>
    </row>
    <row r="55" spans="1:46" hidden="1" x14ac:dyDescent="0.25">
      <c r="A55" s="1">
        <v>59</v>
      </c>
      <c r="B55" s="2" t="s">
        <v>232</v>
      </c>
      <c r="C55" s="3"/>
      <c r="D55" s="2" t="s">
        <v>233</v>
      </c>
      <c r="E55" s="2" t="s">
        <v>143</v>
      </c>
      <c r="F55" s="2" t="s">
        <v>145</v>
      </c>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4"/>
      <c r="AJ55" s="2"/>
      <c r="AK55" s="2"/>
      <c r="AL55" s="5"/>
      <c r="AM55" s="5"/>
      <c r="AR55" s="2" t="s">
        <v>66</v>
      </c>
      <c r="AS55" s="2" t="s">
        <v>65</v>
      </c>
      <c r="AT55">
        <f>IFERROR(ROUND(IF(Tableau_query__18[[#This Row],[Sous famille]]&lt;&gt;"",VLOOKUP(Tableau_query__18[[#This Row],[Sous famille]],'A013 TCD'!G:H,2,FALSE),VLOOKUP(Tableau_query__18[[#This Row],[Famille d''achat]],'A013 TCD'!D:E,2,FALSE))/1000,0),"")</f>
        <v>170</v>
      </c>
    </row>
    <row r="56" spans="1:46" hidden="1" x14ac:dyDescent="0.25">
      <c r="A56" s="1">
        <v>60</v>
      </c>
      <c r="B56" s="2" t="s">
        <v>234</v>
      </c>
      <c r="C56" s="3"/>
      <c r="D56" s="2" t="s">
        <v>235</v>
      </c>
      <c r="E56" s="2" t="s">
        <v>143</v>
      </c>
      <c r="F56" s="2" t="s">
        <v>145</v>
      </c>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4"/>
      <c r="AJ56" s="2"/>
      <c r="AK56" s="2"/>
      <c r="AL56" s="5"/>
      <c r="AM56" s="5"/>
      <c r="AR56" s="2" t="s">
        <v>66</v>
      </c>
      <c r="AS56" s="2" t="s">
        <v>65</v>
      </c>
      <c r="AT56">
        <f>IFERROR(ROUND(IF(Tableau_query__18[[#This Row],[Sous famille]]&lt;&gt;"",VLOOKUP(Tableau_query__18[[#This Row],[Sous famille]],'A013 TCD'!G:H,2,FALSE),VLOOKUP(Tableau_query__18[[#This Row],[Famille d''achat]],'A013 TCD'!D:E,2,FALSE))/1000,0),"")</f>
        <v>338</v>
      </c>
    </row>
    <row r="57" spans="1:46" hidden="1" x14ac:dyDescent="0.25">
      <c r="A57" s="1">
        <v>61</v>
      </c>
      <c r="B57" s="2" t="s">
        <v>236</v>
      </c>
      <c r="C57" s="3"/>
      <c r="D57" s="2" t="s">
        <v>237</v>
      </c>
      <c r="E57" s="2" t="s">
        <v>143</v>
      </c>
      <c r="F57" s="2" t="s">
        <v>145</v>
      </c>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4"/>
      <c r="AJ57" s="2"/>
      <c r="AK57" s="2"/>
      <c r="AL57" s="5"/>
      <c r="AM57" s="5"/>
      <c r="AR57" s="2" t="s">
        <v>66</v>
      </c>
      <c r="AS57" s="2" t="s">
        <v>65</v>
      </c>
      <c r="AT57">
        <f>IFERROR(ROUND(IF(Tableau_query__18[[#This Row],[Sous famille]]&lt;&gt;"",VLOOKUP(Tableau_query__18[[#This Row],[Sous famille]],'A013 TCD'!G:H,2,FALSE),VLOOKUP(Tableau_query__18[[#This Row],[Famille d''achat]],'A013 TCD'!D:E,2,FALSE))/1000,0),"")</f>
        <v>94</v>
      </c>
    </row>
    <row r="58" spans="1:46" hidden="1" x14ac:dyDescent="0.25">
      <c r="A58" s="1">
        <v>62</v>
      </c>
      <c r="B58" s="2" t="s">
        <v>238</v>
      </c>
      <c r="C58" s="3"/>
      <c r="D58" s="2" t="s">
        <v>239</v>
      </c>
      <c r="E58" s="2" t="s">
        <v>143</v>
      </c>
      <c r="F58" s="2" t="s">
        <v>145</v>
      </c>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4"/>
      <c r="AJ58" s="2"/>
      <c r="AK58" s="2"/>
      <c r="AL58" s="5"/>
      <c r="AM58" s="5"/>
      <c r="AR58" s="2" t="s">
        <v>66</v>
      </c>
      <c r="AS58" s="2" t="s">
        <v>65</v>
      </c>
      <c r="AT58">
        <f>IFERROR(ROUND(IF(Tableau_query__18[[#This Row],[Sous famille]]&lt;&gt;"",VLOOKUP(Tableau_query__18[[#This Row],[Sous famille]],'A013 TCD'!G:H,2,FALSE),VLOOKUP(Tableau_query__18[[#This Row],[Famille d''achat]],'A013 TCD'!D:E,2,FALSE))/1000,0),"")</f>
        <v>11</v>
      </c>
    </row>
    <row r="59" spans="1:46" hidden="1" x14ac:dyDescent="0.25">
      <c r="A59" s="1">
        <v>63</v>
      </c>
      <c r="B59" s="2" t="s">
        <v>240</v>
      </c>
      <c r="C59" s="3"/>
      <c r="D59" s="2" t="s">
        <v>242</v>
      </c>
      <c r="E59" s="2" t="s">
        <v>241</v>
      </c>
      <c r="F59" s="2" t="s">
        <v>243</v>
      </c>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4"/>
      <c r="AJ59" s="2"/>
      <c r="AK59" s="2"/>
      <c r="AL59" s="5"/>
      <c r="AM59" s="5"/>
      <c r="AR59" s="2" t="s">
        <v>66</v>
      </c>
      <c r="AS59" s="2" t="s">
        <v>65</v>
      </c>
      <c r="AT59">
        <f>IFERROR(ROUND(IF(Tableau_query__18[[#This Row],[Sous famille]]&lt;&gt;"",VLOOKUP(Tableau_query__18[[#This Row],[Sous famille]],'A013 TCD'!G:H,2,FALSE),VLOOKUP(Tableau_query__18[[#This Row],[Famille d''achat]],'A013 TCD'!D:E,2,FALSE))/1000,0),"")</f>
        <v>7437</v>
      </c>
    </row>
    <row r="60" spans="1:46" ht="60" hidden="1" x14ac:dyDescent="0.25">
      <c r="A60" s="1">
        <v>64</v>
      </c>
      <c r="B60" s="2" t="s">
        <v>244</v>
      </c>
      <c r="C60" s="3">
        <v>46030</v>
      </c>
      <c r="D60" s="2" t="s">
        <v>245</v>
      </c>
      <c r="E60" s="2" t="s">
        <v>241</v>
      </c>
      <c r="F60" s="2" t="s">
        <v>247</v>
      </c>
      <c r="G60" s="2"/>
      <c r="H60" s="2" t="s">
        <v>69</v>
      </c>
      <c r="I60" s="2" t="s">
        <v>77</v>
      </c>
      <c r="J60" s="2" t="s">
        <v>153</v>
      </c>
      <c r="K60" s="2" t="s">
        <v>72</v>
      </c>
      <c r="L60" s="2" t="s">
        <v>52</v>
      </c>
      <c r="M60" s="2" t="s">
        <v>94</v>
      </c>
      <c r="N60" s="2" t="s">
        <v>86</v>
      </c>
      <c r="O60" s="2" t="s">
        <v>96</v>
      </c>
      <c r="P60" s="2" t="s">
        <v>155</v>
      </c>
      <c r="Q60" s="2" t="s">
        <v>97</v>
      </c>
      <c r="R60" s="2" t="s">
        <v>59</v>
      </c>
      <c r="S60" s="2" t="s">
        <v>58</v>
      </c>
      <c r="T60" s="2" t="s">
        <v>59</v>
      </c>
      <c r="U60" s="2" t="s">
        <v>59</v>
      </c>
      <c r="V60" s="2" t="s">
        <v>58</v>
      </c>
      <c r="W60" s="2" t="s">
        <v>58</v>
      </c>
      <c r="X60" s="2" t="s">
        <v>60</v>
      </c>
      <c r="Y60" s="2" t="s">
        <v>60</v>
      </c>
      <c r="Z60" s="2" t="s">
        <v>60</v>
      </c>
      <c r="AA60" s="2" t="s">
        <v>61</v>
      </c>
      <c r="AB60" s="2" t="s">
        <v>58</v>
      </c>
      <c r="AC60" s="2" t="s">
        <v>58</v>
      </c>
      <c r="AD60" s="2" t="s">
        <v>61</v>
      </c>
      <c r="AE60" s="2" t="s">
        <v>59</v>
      </c>
      <c r="AF60" s="2" t="s">
        <v>59</v>
      </c>
      <c r="AG60" s="2" t="s">
        <v>59</v>
      </c>
      <c r="AH60" s="2" t="s">
        <v>62</v>
      </c>
      <c r="AI60" s="4" t="s">
        <v>246</v>
      </c>
      <c r="AJ60" s="2"/>
      <c r="AK60" s="2"/>
      <c r="AL60" s="5">
        <v>4.5</v>
      </c>
      <c r="AM60" s="5">
        <v>4.5</v>
      </c>
      <c r="AN60">
        <v>2.4</v>
      </c>
      <c r="AO60">
        <v>3.2</v>
      </c>
      <c r="AP60">
        <v>0.8</v>
      </c>
      <c r="AQ60">
        <v>0</v>
      </c>
      <c r="AR60" s="2" t="s">
        <v>66</v>
      </c>
      <c r="AS60" s="2" t="s">
        <v>65</v>
      </c>
      <c r="AT60">
        <f>IFERROR(ROUND(IF(Tableau_query__18[[#This Row],[Sous famille]]&lt;&gt;"",VLOOKUP(Tableau_query__18[[#This Row],[Sous famille]],'A013 TCD'!G:H,2,FALSE),VLOOKUP(Tableau_query__18[[#This Row],[Famille d''achat]],'A013 TCD'!D:E,2,FALSE))/1000,0),"")</f>
        <v>95</v>
      </c>
    </row>
    <row r="61" spans="1:46" hidden="1" x14ac:dyDescent="0.25">
      <c r="A61" s="1">
        <v>65</v>
      </c>
      <c r="B61" s="2" t="s">
        <v>248</v>
      </c>
      <c r="C61" s="3"/>
      <c r="D61" s="2" t="s">
        <v>249</v>
      </c>
      <c r="E61" s="2" t="s">
        <v>241</v>
      </c>
      <c r="F61" s="2" t="s">
        <v>250</v>
      </c>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4"/>
      <c r="AJ61" s="2"/>
      <c r="AK61" s="2"/>
      <c r="AL61" s="5"/>
      <c r="AM61" s="5"/>
      <c r="AR61" s="2" t="s">
        <v>66</v>
      </c>
      <c r="AS61" s="2" t="s">
        <v>65</v>
      </c>
      <c r="AT61">
        <f>IFERROR(ROUND(IF(Tableau_query__18[[#This Row],[Sous famille]]&lt;&gt;"",VLOOKUP(Tableau_query__18[[#This Row],[Sous famille]],'A013 TCD'!G:H,2,FALSE),VLOOKUP(Tableau_query__18[[#This Row],[Famille d''achat]],'A013 TCD'!D:E,2,FALSE))/1000,0),"")</f>
        <v>186</v>
      </c>
    </row>
    <row r="62" spans="1:46" ht="75" hidden="1" x14ac:dyDescent="0.25">
      <c r="A62" s="1">
        <v>66</v>
      </c>
      <c r="B62" s="2" t="s">
        <v>251</v>
      </c>
      <c r="C62" s="3">
        <v>45958</v>
      </c>
      <c r="D62" s="2" t="s">
        <v>252</v>
      </c>
      <c r="E62" s="2" t="s">
        <v>241</v>
      </c>
      <c r="F62" s="2" t="s">
        <v>259</v>
      </c>
      <c r="G62" s="2"/>
      <c r="H62" s="2" t="s">
        <v>253</v>
      </c>
      <c r="I62" s="2" t="s">
        <v>77</v>
      </c>
      <c r="J62" s="2" t="s">
        <v>103</v>
      </c>
      <c r="K62" s="2"/>
      <c r="L62" s="2" t="s">
        <v>93</v>
      </c>
      <c r="M62" s="2" t="s">
        <v>254</v>
      </c>
      <c r="N62" s="2" t="s">
        <v>86</v>
      </c>
      <c r="O62" s="2" t="s">
        <v>96</v>
      </c>
      <c r="P62" s="2" t="s">
        <v>255</v>
      </c>
      <c r="Q62" s="2" t="s">
        <v>97</v>
      </c>
      <c r="R62" s="2"/>
      <c r="S62" s="2"/>
      <c r="T62" s="2" t="s">
        <v>61</v>
      </c>
      <c r="U62" s="2" t="s">
        <v>61</v>
      </c>
      <c r="V62" s="2" t="s">
        <v>60</v>
      </c>
      <c r="W62" s="2"/>
      <c r="X62" s="2" t="s">
        <v>60</v>
      </c>
      <c r="Y62" s="2" t="s">
        <v>59</v>
      </c>
      <c r="Z62" s="2" t="s">
        <v>60</v>
      </c>
      <c r="AA62" s="2"/>
      <c r="AB62" s="2"/>
      <c r="AC62" s="2" t="s">
        <v>60</v>
      </c>
      <c r="AD62" s="2" t="s">
        <v>59</v>
      </c>
      <c r="AE62" s="2" t="s">
        <v>60</v>
      </c>
      <c r="AF62" s="2"/>
      <c r="AG62" s="2" t="s">
        <v>256</v>
      </c>
      <c r="AH62" s="2" t="s">
        <v>98</v>
      </c>
      <c r="AI62" s="4" t="s">
        <v>257</v>
      </c>
      <c r="AJ62" s="2" t="s">
        <v>258</v>
      </c>
      <c r="AK62" s="2"/>
      <c r="AL62" s="5">
        <v>0</v>
      </c>
      <c r="AM62" s="5">
        <v>5.5</v>
      </c>
      <c r="AN62">
        <v>10.4</v>
      </c>
      <c r="AO62">
        <v>0</v>
      </c>
      <c r="AP62">
        <v>4</v>
      </c>
      <c r="AQ62">
        <v>0</v>
      </c>
      <c r="AR62" s="2" t="s">
        <v>66</v>
      </c>
      <c r="AS62" s="2" t="s">
        <v>65</v>
      </c>
      <c r="AT62">
        <f>IFERROR(ROUND(IF(Tableau_query__18[[#This Row],[Sous famille]]&lt;&gt;"",VLOOKUP(Tableau_query__18[[#This Row],[Sous famille]],'A013 TCD'!G:H,2,FALSE),VLOOKUP(Tableau_query__18[[#This Row],[Famille d''achat]],'A013 TCD'!D:E,2,FALSE))/1000,0),"")</f>
        <v>3184</v>
      </c>
    </row>
    <row r="63" spans="1:46" ht="60" x14ac:dyDescent="0.25">
      <c r="A63" s="1">
        <v>67</v>
      </c>
      <c r="B63" s="2" t="s">
        <v>260</v>
      </c>
      <c r="C63" s="3">
        <v>46106</v>
      </c>
      <c r="D63" s="2" t="s">
        <v>261</v>
      </c>
      <c r="E63" s="2" t="s">
        <v>241</v>
      </c>
      <c r="F63" s="2" t="s">
        <v>265</v>
      </c>
      <c r="G63" s="2"/>
      <c r="H63" s="2" t="s">
        <v>253</v>
      </c>
      <c r="I63" s="2" t="s">
        <v>49</v>
      </c>
      <c r="J63" s="2" t="s">
        <v>71</v>
      </c>
      <c r="K63" s="2" t="s">
        <v>104</v>
      </c>
      <c r="L63" s="2" t="s">
        <v>93</v>
      </c>
      <c r="M63" s="2" t="s">
        <v>94</v>
      </c>
      <c r="N63" s="2" t="s">
        <v>54</v>
      </c>
      <c r="O63" s="2" t="s">
        <v>132</v>
      </c>
      <c r="P63" s="2" t="s">
        <v>262</v>
      </c>
      <c r="Q63" s="2" t="s">
        <v>133</v>
      </c>
      <c r="R63" s="2" t="s">
        <v>61</v>
      </c>
      <c r="S63" s="2" t="s">
        <v>61</v>
      </c>
      <c r="T63" s="2" t="s">
        <v>58</v>
      </c>
      <c r="U63" s="2" t="s">
        <v>60</v>
      </c>
      <c r="V63" s="2" t="s">
        <v>61</v>
      </c>
      <c r="W63" s="2" t="s">
        <v>58</v>
      </c>
      <c r="X63" s="2" t="s">
        <v>59</v>
      </c>
      <c r="Y63" s="2" t="s">
        <v>59</v>
      </c>
      <c r="Z63" s="2" t="s">
        <v>59</v>
      </c>
      <c r="AA63" s="2" t="s">
        <v>59</v>
      </c>
      <c r="AB63" s="2"/>
      <c r="AC63" s="2" t="s">
        <v>59</v>
      </c>
      <c r="AD63" s="2" t="s">
        <v>59</v>
      </c>
      <c r="AE63" s="2" t="s">
        <v>59</v>
      </c>
      <c r="AF63" s="2" t="s">
        <v>59</v>
      </c>
      <c r="AG63" s="2" t="s">
        <v>59</v>
      </c>
      <c r="AH63" s="2" t="s">
        <v>98</v>
      </c>
      <c r="AI63" s="4" t="s">
        <v>263</v>
      </c>
      <c r="AJ63" s="2" t="s">
        <v>264</v>
      </c>
      <c r="AK63" s="2" t="s">
        <v>82</v>
      </c>
      <c r="AL63" s="5">
        <v>0</v>
      </c>
      <c r="AM63" s="5">
        <v>0</v>
      </c>
      <c r="AN63">
        <v>12.8</v>
      </c>
      <c r="AO63">
        <v>6.4</v>
      </c>
      <c r="AP63">
        <v>2.4</v>
      </c>
      <c r="AQ63">
        <v>8.8000000000000007</v>
      </c>
      <c r="AR63" s="2" t="s">
        <v>66</v>
      </c>
      <c r="AS63" s="2" t="s">
        <v>65</v>
      </c>
      <c r="AT63">
        <f>IFERROR(ROUND(IF(Tableau_query__18[[#This Row],[Sous famille]]&lt;&gt;"",VLOOKUP(Tableau_query__18[[#This Row],[Sous famille]],'A013 TCD'!G:H,2,FALSE),VLOOKUP(Tableau_query__18[[#This Row],[Famille d''achat]],'A013 TCD'!D:E,2,FALSE))/1000,0),"")</f>
        <v>2485</v>
      </c>
    </row>
    <row r="64" spans="1:46" hidden="1" x14ac:dyDescent="0.25">
      <c r="A64" s="1">
        <v>68</v>
      </c>
      <c r="B64" s="2" t="s">
        <v>266</v>
      </c>
      <c r="C64" s="3"/>
      <c r="D64" s="2" t="s">
        <v>267</v>
      </c>
      <c r="E64" s="2" t="s">
        <v>241</v>
      </c>
      <c r="F64" s="2" t="s">
        <v>250</v>
      </c>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4"/>
      <c r="AJ64" s="2"/>
      <c r="AK64" s="2"/>
      <c r="AL64" s="5"/>
      <c r="AM64" s="5"/>
      <c r="AR64" s="2" t="s">
        <v>66</v>
      </c>
      <c r="AS64" s="2" t="s">
        <v>65</v>
      </c>
      <c r="AT64">
        <f>IFERROR(ROUND(IF(Tableau_query__18[[#This Row],[Sous famille]]&lt;&gt;"",VLOOKUP(Tableau_query__18[[#This Row],[Sous famille]],'A013 TCD'!G:H,2,FALSE),VLOOKUP(Tableau_query__18[[#This Row],[Famille d''achat]],'A013 TCD'!D:E,2,FALSE))/1000,0),"")</f>
        <v>5</v>
      </c>
    </row>
    <row r="65" spans="1:46" ht="30" hidden="1" x14ac:dyDescent="0.25">
      <c r="A65" s="1">
        <v>69</v>
      </c>
      <c r="B65" s="2" t="s">
        <v>268</v>
      </c>
      <c r="C65" s="3">
        <v>46111</v>
      </c>
      <c r="D65" s="2" t="s">
        <v>269</v>
      </c>
      <c r="E65" s="2" t="s">
        <v>241</v>
      </c>
      <c r="F65" s="2" t="s">
        <v>247</v>
      </c>
      <c r="G65" s="2"/>
      <c r="H65" s="2" t="s">
        <v>102</v>
      </c>
      <c r="I65" s="2" t="s">
        <v>77</v>
      </c>
      <c r="J65" s="2" t="s">
        <v>71</v>
      </c>
      <c r="K65" s="2" t="s">
        <v>72</v>
      </c>
      <c r="L65" s="2" t="s">
        <v>52</v>
      </c>
      <c r="M65" s="2" t="s">
        <v>139</v>
      </c>
      <c r="N65" s="2" t="s">
        <v>95</v>
      </c>
      <c r="O65" s="2" t="s">
        <v>132</v>
      </c>
      <c r="P65" s="2" t="s">
        <v>117</v>
      </c>
      <c r="Q65" s="2" t="s">
        <v>125</v>
      </c>
      <c r="R65" s="2" t="s">
        <v>59</v>
      </c>
      <c r="S65" s="2" t="s">
        <v>58</v>
      </c>
      <c r="T65" s="2" t="s">
        <v>59</v>
      </c>
      <c r="U65" s="2" t="s">
        <v>59</v>
      </c>
      <c r="V65" s="2" t="s">
        <v>58</v>
      </c>
      <c r="W65" s="2" t="s">
        <v>59</v>
      </c>
      <c r="X65" s="2" t="s">
        <v>60</v>
      </c>
      <c r="Y65" s="2" t="s">
        <v>60</v>
      </c>
      <c r="Z65" s="2" t="s">
        <v>61</v>
      </c>
      <c r="AA65" s="2" t="s">
        <v>60</v>
      </c>
      <c r="AB65" s="2" t="s">
        <v>61</v>
      </c>
      <c r="AC65" s="2" t="s">
        <v>61</v>
      </c>
      <c r="AD65" s="2" t="s">
        <v>61</v>
      </c>
      <c r="AE65" s="2" t="s">
        <v>61</v>
      </c>
      <c r="AF65" s="2" t="s">
        <v>60</v>
      </c>
      <c r="AG65" s="2" t="s">
        <v>61</v>
      </c>
      <c r="AH65" s="2" t="s">
        <v>270</v>
      </c>
      <c r="AI65" s="4" t="s">
        <v>271</v>
      </c>
      <c r="AJ65" s="2" t="s">
        <v>89</v>
      </c>
      <c r="AK65" s="2" t="s">
        <v>272</v>
      </c>
      <c r="AL65" s="5">
        <v>9</v>
      </c>
      <c r="AM65" s="5">
        <v>5</v>
      </c>
      <c r="AN65">
        <v>5.6</v>
      </c>
      <c r="AO65">
        <v>9.6</v>
      </c>
      <c r="AP65">
        <v>1.6</v>
      </c>
      <c r="AQ65">
        <v>0</v>
      </c>
      <c r="AR65" s="2" t="s">
        <v>66</v>
      </c>
      <c r="AS65" s="2" t="s">
        <v>65</v>
      </c>
      <c r="AT65">
        <f>IFERROR(ROUND(IF(Tableau_query__18[[#This Row],[Sous famille]]&lt;&gt;"",VLOOKUP(Tableau_query__18[[#This Row],[Sous famille]],'A013 TCD'!G:H,2,FALSE),VLOOKUP(Tableau_query__18[[#This Row],[Famille d''achat]],'A013 TCD'!D:E,2,FALSE))/1000,0),"")</f>
        <v>111</v>
      </c>
    </row>
    <row r="66" spans="1:46" ht="45" hidden="1" x14ac:dyDescent="0.25">
      <c r="A66" s="1">
        <v>70</v>
      </c>
      <c r="B66" s="2" t="s">
        <v>273</v>
      </c>
      <c r="C66" s="3">
        <v>45959</v>
      </c>
      <c r="D66" s="2" t="s">
        <v>274</v>
      </c>
      <c r="E66" s="2" t="s">
        <v>241</v>
      </c>
      <c r="F66" s="2" t="s">
        <v>259</v>
      </c>
      <c r="G66" s="2"/>
      <c r="H66" s="2" t="s">
        <v>116</v>
      </c>
      <c r="I66" s="2" t="s">
        <v>77</v>
      </c>
      <c r="J66" s="2" t="s">
        <v>153</v>
      </c>
      <c r="K66" s="2"/>
      <c r="L66" s="2" t="s">
        <v>93</v>
      </c>
      <c r="M66" s="2" t="s">
        <v>154</v>
      </c>
      <c r="N66" s="2" t="s">
        <v>86</v>
      </c>
      <c r="O66" s="2" t="s">
        <v>132</v>
      </c>
      <c r="P66" s="2" t="s">
        <v>255</v>
      </c>
      <c r="Q66" s="2" t="s">
        <v>97</v>
      </c>
      <c r="R66" s="2"/>
      <c r="S66" s="2"/>
      <c r="T66" s="2" t="s">
        <v>59</v>
      </c>
      <c r="U66" s="2" t="s">
        <v>61</v>
      </c>
      <c r="V66" s="2" t="s">
        <v>59</v>
      </c>
      <c r="W66" s="2"/>
      <c r="X66" s="2" t="s">
        <v>60</v>
      </c>
      <c r="Y66" s="2" t="s">
        <v>58</v>
      </c>
      <c r="Z66" s="2" t="s">
        <v>58</v>
      </c>
      <c r="AA66" s="2"/>
      <c r="AB66" s="2"/>
      <c r="AC66" s="2" t="s">
        <v>60</v>
      </c>
      <c r="AD66" s="2" t="s">
        <v>59</v>
      </c>
      <c r="AE66" s="2" t="s">
        <v>61</v>
      </c>
      <c r="AF66" s="2"/>
      <c r="AG66" s="2" t="s">
        <v>59</v>
      </c>
      <c r="AH66" s="2" t="s">
        <v>62</v>
      </c>
      <c r="AI66" s="4" t="s">
        <v>275</v>
      </c>
      <c r="AJ66" s="2" t="s">
        <v>276</v>
      </c>
      <c r="AK66" s="2" t="s">
        <v>277</v>
      </c>
      <c r="AL66" s="5">
        <v>3.5</v>
      </c>
      <c r="AM66" s="5">
        <v>3.5</v>
      </c>
      <c r="AN66">
        <v>5.6</v>
      </c>
      <c r="AO66">
        <v>3.2</v>
      </c>
      <c r="AP66">
        <v>0.8</v>
      </c>
      <c r="AQ66">
        <v>0</v>
      </c>
      <c r="AR66" s="2" t="s">
        <v>66</v>
      </c>
      <c r="AS66" s="2" t="s">
        <v>65</v>
      </c>
      <c r="AT66">
        <f>IFERROR(ROUND(IF(Tableau_query__18[[#This Row],[Sous famille]]&lt;&gt;"",VLOOKUP(Tableau_query__18[[#This Row],[Sous famille]],'A013 TCD'!G:H,2,FALSE),VLOOKUP(Tableau_query__18[[#This Row],[Famille d''achat]],'A013 TCD'!D:E,2,FALSE))/1000,0),"")</f>
        <v>216</v>
      </c>
    </row>
    <row r="67" spans="1:46" ht="45" hidden="1" x14ac:dyDescent="0.25">
      <c r="A67" s="1">
        <v>71</v>
      </c>
      <c r="B67" s="2" t="s">
        <v>278</v>
      </c>
      <c r="C67" s="3">
        <v>46111</v>
      </c>
      <c r="D67" s="2" t="s">
        <v>279</v>
      </c>
      <c r="E67" s="2" t="s">
        <v>241</v>
      </c>
      <c r="F67" s="2" t="s">
        <v>250</v>
      </c>
      <c r="G67" s="2"/>
      <c r="H67" s="2" t="s">
        <v>69</v>
      </c>
      <c r="I67" s="2" t="s">
        <v>70</v>
      </c>
      <c r="J67" s="2" t="s">
        <v>153</v>
      </c>
      <c r="K67" s="2" t="s">
        <v>72</v>
      </c>
      <c r="L67" s="2" t="s">
        <v>280</v>
      </c>
      <c r="M67" s="2" t="s">
        <v>94</v>
      </c>
      <c r="N67" s="2" t="s">
        <v>86</v>
      </c>
      <c r="O67" s="2" t="s">
        <v>55</v>
      </c>
      <c r="P67" s="2" t="s">
        <v>155</v>
      </c>
      <c r="Q67" s="2" t="s">
        <v>97</v>
      </c>
      <c r="R67" s="2" t="s">
        <v>58</v>
      </c>
      <c r="S67" s="2" t="s">
        <v>61</v>
      </c>
      <c r="T67" s="2" t="s">
        <v>61</v>
      </c>
      <c r="U67" s="2" t="s">
        <v>58</v>
      </c>
      <c r="V67" s="2" t="s">
        <v>59</v>
      </c>
      <c r="W67" s="2" t="s">
        <v>58</v>
      </c>
      <c r="X67" s="2" t="s">
        <v>60</v>
      </c>
      <c r="Y67" s="2" t="s">
        <v>59</v>
      </c>
      <c r="Z67" s="2" t="s">
        <v>58</v>
      </c>
      <c r="AA67" s="2" t="s">
        <v>59</v>
      </c>
      <c r="AB67" s="2"/>
      <c r="AC67" s="2" t="s">
        <v>58</v>
      </c>
      <c r="AD67" s="2" t="s">
        <v>61</v>
      </c>
      <c r="AE67" s="2" t="s">
        <v>59</v>
      </c>
      <c r="AF67" s="2" t="s">
        <v>58</v>
      </c>
      <c r="AG67" s="2" t="s">
        <v>59</v>
      </c>
      <c r="AH67" s="2" t="s">
        <v>98</v>
      </c>
      <c r="AI67" s="4" t="s">
        <v>281</v>
      </c>
      <c r="AJ67" s="2" t="s">
        <v>282</v>
      </c>
      <c r="AK67" s="2" t="s">
        <v>283</v>
      </c>
      <c r="AL67" s="5">
        <v>2.5</v>
      </c>
      <c r="AM67" s="5">
        <v>4.5</v>
      </c>
      <c r="AN67">
        <v>0</v>
      </c>
      <c r="AO67">
        <v>0</v>
      </c>
      <c r="AP67">
        <v>1.6</v>
      </c>
      <c r="AQ67">
        <v>2.4</v>
      </c>
      <c r="AR67" s="2" t="s">
        <v>66</v>
      </c>
      <c r="AS67" s="2" t="s">
        <v>65</v>
      </c>
      <c r="AT67">
        <f>IFERROR(ROUND(IF(Tableau_query__18[[#This Row],[Sous famille]]&lt;&gt;"",VLOOKUP(Tableau_query__18[[#This Row],[Sous famille]],'A013 TCD'!G:H,2,FALSE),VLOOKUP(Tableau_query__18[[#This Row],[Famille d''achat]],'A013 TCD'!D:E,2,FALSE))/1000,0),"")</f>
        <v>189</v>
      </c>
    </row>
    <row r="68" spans="1:46" hidden="1" x14ac:dyDescent="0.25">
      <c r="A68" s="1">
        <v>72</v>
      </c>
      <c r="B68" s="2" t="s">
        <v>284</v>
      </c>
      <c r="C68" s="3"/>
      <c r="D68" s="2" t="s">
        <v>285</v>
      </c>
      <c r="E68" s="2" t="s">
        <v>241</v>
      </c>
      <c r="F68" s="2" t="s">
        <v>250</v>
      </c>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4"/>
      <c r="AJ68" s="2"/>
      <c r="AK68" s="2"/>
      <c r="AL68" s="5">
        <v>0</v>
      </c>
      <c r="AM68" s="5">
        <v>0</v>
      </c>
      <c r="AN68">
        <v>0</v>
      </c>
      <c r="AO68">
        <v>0</v>
      </c>
      <c r="AP68">
        <v>0</v>
      </c>
      <c r="AQ68">
        <v>0</v>
      </c>
      <c r="AR68" s="2" t="s">
        <v>66</v>
      </c>
      <c r="AS68" s="2" t="s">
        <v>65</v>
      </c>
      <c r="AT68">
        <f>IFERROR(ROUND(IF(Tableau_query__18[[#This Row],[Sous famille]]&lt;&gt;"",VLOOKUP(Tableau_query__18[[#This Row],[Sous famille]],'A013 TCD'!G:H,2,FALSE),VLOOKUP(Tableau_query__18[[#This Row],[Famille d''achat]],'A013 TCD'!D:E,2,FALSE))/1000,0),"")</f>
        <v>12094</v>
      </c>
    </row>
    <row r="69" spans="1:46" hidden="1" x14ac:dyDescent="0.25">
      <c r="A69" s="1">
        <v>73</v>
      </c>
      <c r="B69" s="2" t="s">
        <v>286</v>
      </c>
      <c r="C69" s="3"/>
      <c r="D69" s="2" t="s">
        <v>287</v>
      </c>
      <c r="E69" s="2" t="s">
        <v>241</v>
      </c>
      <c r="F69" s="2" t="s">
        <v>288</v>
      </c>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4"/>
      <c r="AJ69" s="2"/>
      <c r="AK69" s="2"/>
      <c r="AL69" s="5"/>
      <c r="AM69" s="5"/>
      <c r="AR69" s="2" t="s">
        <v>66</v>
      </c>
      <c r="AS69" s="2" t="s">
        <v>65</v>
      </c>
      <c r="AT69">
        <f>IFERROR(ROUND(IF(Tableau_query__18[[#This Row],[Sous famille]]&lt;&gt;"",VLOOKUP(Tableau_query__18[[#This Row],[Sous famille]],'A013 TCD'!G:H,2,FALSE),VLOOKUP(Tableau_query__18[[#This Row],[Famille d''achat]],'A013 TCD'!D:E,2,FALSE))/1000,0),"")</f>
        <v>9207</v>
      </c>
    </row>
    <row r="70" spans="1:46" hidden="1" x14ac:dyDescent="0.25">
      <c r="A70" s="1">
        <v>74</v>
      </c>
      <c r="B70" s="2" t="s">
        <v>289</v>
      </c>
      <c r="C70" s="3"/>
      <c r="D70" s="2" t="s">
        <v>290</v>
      </c>
      <c r="E70" s="2" t="s">
        <v>241</v>
      </c>
      <c r="F70" s="2" t="s">
        <v>243</v>
      </c>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4"/>
      <c r="AJ70" s="2"/>
      <c r="AK70" s="2"/>
      <c r="AL70" s="5"/>
      <c r="AM70" s="5"/>
      <c r="AR70" s="2" t="s">
        <v>66</v>
      </c>
      <c r="AS70" s="2" t="s">
        <v>65</v>
      </c>
      <c r="AT70">
        <f>IFERROR(ROUND(IF(Tableau_query__18[[#This Row],[Sous famille]]&lt;&gt;"",VLOOKUP(Tableau_query__18[[#This Row],[Sous famille]],'A013 TCD'!G:H,2,FALSE),VLOOKUP(Tableau_query__18[[#This Row],[Famille d''achat]],'A013 TCD'!D:E,2,FALSE))/1000,0),"")</f>
        <v>3821</v>
      </c>
    </row>
    <row r="71" spans="1:46" ht="270" hidden="1" x14ac:dyDescent="0.25">
      <c r="A71" s="1">
        <v>75</v>
      </c>
      <c r="B71" s="2" t="s">
        <v>291</v>
      </c>
      <c r="C71" s="3">
        <v>45989</v>
      </c>
      <c r="D71" s="2" t="s">
        <v>292</v>
      </c>
      <c r="E71" s="2" t="s">
        <v>241</v>
      </c>
      <c r="F71" s="2" t="s">
        <v>296</v>
      </c>
      <c r="G71" s="2" t="s">
        <v>293</v>
      </c>
      <c r="H71" s="2" t="s">
        <v>116</v>
      </c>
      <c r="I71" s="2" t="s">
        <v>70</v>
      </c>
      <c r="J71" s="2" t="s">
        <v>153</v>
      </c>
      <c r="K71" s="2"/>
      <c r="L71" s="2" t="s">
        <v>93</v>
      </c>
      <c r="M71" s="2" t="s">
        <v>94</v>
      </c>
      <c r="N71" s="2" t="s">
        <v>294</v>
      </c>
      <c r="O71" s="2" t="s">
        <v>55</v>
      </c>
      <c r="P71" s="2" t="s">
        <v>155</v>
      </c>
      <c r="Q71" s="2" t="s">
        <v>97</v>
      </c>
      <c r="R71" s="2"/>
      <c r="S71" s="2"/>
      <c r="T71" s="2" t="s">
        <v>58</v>
      </c>
      <c r="U71" s="2" t="s">
        <v>59</v>
      </c>
      <c r="V71" s="2" t="s">
        <v>58</v>
      </c>
      <c r="W71" s="2"/>
      <c r="X71" s="2" t="s">
        <v>59</v>
      </c>
      <c r="Y71" s="2" t="s">
        <v>59</v>
      </c>
      <c r="Z71" s="2" t="s">
        <v>58</v>
      </c>
      <c r="AA71" s="2"/>
      <c r="AB71" s="2"/>
      <c r="AC71" s="2" t="s">
        <v>58</v>
      </c>
      <c r="AD71" s="2" t="s">
        <v>58</v>
      </c>
      <c r="AE71" s="2" t="s">
        <v>61</v>
      </c>
      <c r="AF71" s="2"/>
      <c r="AG71" s="2" t="s">
        <v>58</v>
      </c>
      <c r="AH71" s="2" t="s">
        <v>105</v>
      </c>
      <c r="AI71" s="4" t="s">
        <v>295</v>
      </c>
      <c r="AJ71" s="2"/>
      <c r="AK71" s="2" t="s">
        <v>322</v>
      </c>
      <c r="AL71" s="5">
        <v>0</v>
      </c>
      <c r="AM71" s="5">
        <v>0</v>
      </c>
      <c r="AN71">
        <v>0</v>
      </c>
      <c r="AO71">
        <v>0</v>
      </c>
      <c r="AP71">
        <v>0</v>
      </c>
      <c r="AQ71">
        <v>0</v>
      </c>
      <c r="AR71" s="2" t="s">
        <v>66</v>
      </c>
      <c r="AS71" s="2" t="s">
        <v>65</v>
      </c>
      <c r="AT71" t="str">
        <f>IFERROR(ROUND(IF(Tableau_query__18[[#This Row],[Sous famille]]&lt;&gt;"",VLOOKUP(Tableau_query__18[[#This Row],[Sous famille]],'A013 TCD'!G:H,2,FALSE),VLOOKUP(Tableau_query__18[[#This Row],[Famille d''achat]],'A013 TCD'!D:E,2,FALSE))/1000,0),"")</f>
        <v/>
      </c>
    </row>
    <row r="72" spans="1:46" ht="409.5" hidden="1" x14ac:dyDescent="0.25">
      <c r="A72" s="1">
        <v>76</v>
      </c>
      <c r="B72" s="2" t="s">
        <v>297</v>
      </c>
      <c r="C72" s="3">
        <v>46113</v>
      </c>
      <c r="D72" s="2" t="s">
        <v>298</v>
      </c>
      <c r="E72" s="2" t="s">
        <v>241</v>
      </c>
      <c r="F72" s="2" t="s">
        <v>296</v>
      </c>
      <c r="G72" s="2"/>
      <c r="H72" s="2" t="s">
        <v>69</v>
      </c>
      <c r="I72" s="2" t="s">
        <v>70</v>
      </c>
      <c r="J72" s="2" t="s">
        <v>71</v>
      </c>
      <c r="K72" s="2" t="s">
        <v>72</v>
      </c>
      <c r="L72" s="2" t="s">
        <v>93</v>
      </c>
      <c r="M72" s="2" t="s">
        <v>53</v>
      </c>
      <c r="N72" s="2" t="s">
        <v>54</v>
      </c>
      <c r="O72" s="2" t="s">
        <v>132</v>
      </c>
      <c r="P72" s="2" t="s">
        <v>255</v>
      </c>
      <c r="Q72" s="2" t="s">
        <v>125</v>
      </c>
      <c r="R72" s="2" t="s">
        <v>61</v>
      </c>
      <c r="S72" s="2" t="s">
        <v>60</v>
      </c>
      <c r="T72" s="2" t="s">
        <v>59</v>
      </c>
      <c r="U72" s="2" t="s">
        <v>58</v>
      </c>
      <c r="V72" s="2" t="s">
        <v>58</v>
      </c>
      <c r="W72" s="2" t="s">
        <v>59</v>
      </c>
      <c r="X72" s="2" t="s">
        <v>59</v>
      </c>
      <c r="Y72" s="2" t="s">
        <v>61</v>
      </c>
      <c r="Z72" s="2" t="s">
        <v>58</v>
      </c>
      <c r="AA72" s="2" t="s">
        <v>59</v>
      </c>
      <c r="AB72" s="2"/>
      <c r="AC72" s="2" t="s">
        <v>58</v>
      </c>
      <c r="AD72" s="2" t="s">
        <v>59</v>
      </c>
      <c r="AE72" s="2" t="s">
        <v>58</v>
      </c>
      <c r="AF72" s="2" t="s">
        <v>59</v>
      </c>
      <c r="AG72" s="2" t="s">
        <v>58</v>
      </c>
      <c r="AH72" s="2" t="s">
        <v>87</v>
      </c>
      <c r="AI72" s="4" t="s">
        <v>1034</v>
      </c>
      <c r="AJ72" s="2" t="s">
        <v>89</v>
      </c>
      <c r="AK72" s="2" t="s">
        <v>299</v>
      </c>
      <c r="AL72" s="5">
        <v>0</v>
      </c>
      <c r="AM72" s="5">
        <v>0</v>
      </c>
      <c r="AN72">
        <v>0</v>
      </c>
      <c r="AO72">
        <v>0</v>
      </c>
      <c r="AP72">
        <v>0</v>
      </c>
      <c r="AQ72">
        <v>0</v>
      </c>
      <c r="AR72" s="2" t="s">
        <v>66</v>
      </c>
      <c r="AS72" s="2" t="s">
        <v>65</v>
      </c>
      <c r="AT72">
        <f>IFERROR(ROUND(IF(Tableau_query__18[[#This Row],[Sous famille]]&lt;&gt;"",VLOOKUP(Tableau_query__18[[#This Row],[Sous famille]],'A013 TCD'!G:H,2,FALSE),VLOOKUP(Tableau_query__18[[#This Row],[Famille d''achat]],'A013 TCD'!D:E,2,FALSE))/1000,0),"")</f>
        <v>16210</v>
      </c>
    </row>
    <row r="73" spans="1:46" ht="45" hidden="1" x14ac:dyDescent="0.25">
      <c r="A73" s="1">
        <v>77</v>
      </c>
      <c r="B73" s="2" t="s">
        <v>300</v>
      </c>
      <c r="C73" s="3">
        <v>46050</v>
      </c>
      <c r="D73" s="2" t="s">
        <v>301</v>
      </c>
      <c r="E73" s="2" t="s">
        <v>241</v>
      </c>
      <c r="F73" s="2" t="s">
        <v>247</v>
      </c>
      <c r="G73" s="2" t="s">
        <v>302</v>
      </c>
      <c r="H73" s="2" t="s">
        <v>69</v>
      </c>
      <c r="I73" s="2" t="s">
        <v>77</v>
      </c>
      <c r="J73" s="2" t="s">
        <v>71</v>
      </c>
      <c r="K73" s="2" t="s">
        <v>72</v>
      </c>
      <c r="L73" s="2" t="s">
        <v>52</v>
      </c>
      <c r="M73" s="2" t="s">
        <v>254</v>
      </c>
      <c r="N73" s="2" t="s">
        <v>95</v>
      </c>
      <c r="O73" s="2" t="s">
        <v>132</v>
      </c>
      <c r="P73" s="2" t="s">
        <v>117</v>
      </c>
      <c r="Q73" s="2" t="s">
        <v>125</v>
      </c>
      <c r="R73" s="2" t="s">
        <v>59</v>
      </c>
      <c r="S73" s="2" t="s">
        <v>58</v>
      </c>
      <c r="T73" s="2" t="s">
        <v>59</v>
      </c>
      <c r="U73" s="2" t="s">
        <v>58</v>
      </c>
      <c r="V73" s="2" t="s">
        <v>58</v>
      </c>
      <c r="W73" s="2" t="s">
        <v>59</v>
      </c>
      <c r="X73" s="2" t="s">
        <v>59</v>
      </c>
      <c r="Y73" s="2" t="s">
        <v>61</v>
      </c>
      <c r="Z73" s="2" t="s">
        <v>61</v>
      </c>
      <c r="AA73" s="2" t="s">
        <v>61</v>
      </c>
      <c r="AB73" s="2" t="s">
        <v>58</v>
      </c>
      <c r="AC73" s="2" t="s">
        <v>59</v>
      </c>
      <c r="AD73" s="2" t="s">
        <v>58</v>
      </c>
      <c r="AE73" s="2" t="s">
        <v>61</v>
      </c>
      <c r="AF73" s="2" t="s">
        <v>61</v>
      </c>
      <c r="AG73" s="2" t="s">
        <v>61</v>
      </c>
      <c r="AH73" s="2" t="s">
        <v>270</v>
      </c>
      <c r="AI73" s="4" t="s">
        <v>303</v>
      </c>
      <c r="AJ73" s="2" t="s">
        <v>89</v>
      </c>
      <c r="AK73" s="2" t="s">
        <v>272</v>
      </c>
      <c r="AL73" s="5">
        <v>5.5</v>
      </c>
      <c r="AM73" s="5">
        <v>3</v>
      </c>
      <c r="AN73">
        <v>3.2</v>
      </c>
      <c r="AO73">
        <v>8.8000000000000007</v>
      </c>
      <c r="AP73">
        <v>1.6</v>
      </c>
      <c r="AQ73">
        <v>0</v>
      </c>
      <c r="AR73" s="2" t="s">
        <v>66</v>
      </c>
      <c r="AS73" s="2" t="s">
        <v>65</v>
      </c>
      <c r="AT73" t="str">
        <f>IFERROR(ROUND(IF(Tableau_query__18[[#This Row],[Sous famille]]&lt;&gt;"",VLOOKUP(Tableau_query__18[[#This Row],[Sous famille]],'A013 TCD'!G:H,2,FALSE),VLOOKUP(Tableau_query__18[[#This Row],[Famille d''achat]],'A013 TCD'!D:E,2,FALSE))/1000,0),"")</f>
        <v/>
      </c>
    </row>
    <row r="74" spans="1:46" ht="30" x14ac:dyDescent="0.25">
      <c r="A74" s="1">
        <v>78</v>
      </c>
      <c r="B74" s="2" t="s">
        <v>304</v>
      </c>
      <c r="C74" s="3">
        <v>46108</v>
      </c>
      <c r="D74" s="2" t="s">
        <v>305</v>
      </c>
      <c r="E74" s="2" t="s">
        <v>241</v>
      </c>
      <c r="F74" s="2" t="s">
        <v>265</v>
      </c>
      <c r="G74" s="2"/>
      <c r="H74" s="2" t="s">
        <v>116</v>
      </c>
      <c r="I74" s="2" t="s">
        <v>77</v>
      </c>
      <c r="J74" s="2" t="s">
        <v>71</v>
      </c>
      <c r="K74" s="2" t="s">
        <v>72</v>
      </c>
      <c r="L74" s="2" t="s">
        <v>52</v>
      </c>
      <c r="M74" s="2" t="s">
        <v>53</v>
      </c>
      <c r="N74" s="2" t="s">
        <v>79</v>
      </c>
      <c r="O74" s="2"/>
      <c r="P74" s="2" t="s">
        <v>117</v>
      </c>
      <c r="Q74" s="2" t="s">
        <v>118</v>
      </c>
      <c r="R74" s="2" t="s">
        <v>58</v>
      </c>
      <c r="S74" s="2" t="s">
        <v>58</v>
      </c>
      <c r="T74" s="2" t="s">
        <v>61</v>
      </c>
      <c r="U74" s="2" t="s">
        <v>59</v>
      </c>
      <c r="V74" s="2" t="s">
        <v>59</v>
      </c>
      <c r="W74" s="2" t="s">
        <v>58</v>
      </c>
      <c r="X74" s="2" t="s">
        <v>59</v>
      </c>
      <c r="Y74" s="2" t="s">
        <v>59</v>
      </c>
      <c r="Z74" s="2" t="s">
        <v>58</v>
      </c>
      <c r="AA74" s="2" t="s">
        <v>61</v>
      </c>
      <c r="AB74" s="2" t="s">
        <v>59</v>
      </c>
      <c r="AC74" s="2" t="s">
        <v>59</v>
      </c>
      <c r="AD74" s="2" t="s">
        <v>61</v>
      </c>
      <c r="AE74" s="2" t="s">
        <v>59</v>
      </c>
      <c r="AF74" s="2" t="s">
        <v>59</v>
      </c>
      <c r="AG74" s="2" t="s">
        <v>59</v>
      </c>
      <c r="AH74" s="2" t="s">
        <v>105</v>
      </c>
      <c r="AI74" s="4" t="s">
        <v>306</v>
      </c>
      <c r="AJ74" s="2" t="s">
        <v>89</v>
      </c>
      <c r="AK74" s="2" t="s">
        <v>82</v>
      </c>
      <c r="AL74" s="5">
        <v>4</v>
      </c>
      <c r="AM74" s="5">
        <v>3</v>
      </c>
      <c r="AN74">
        <v>1.6</v>
      </c>
      <c r="AO74">
        <v>9.6</v>
      </c>
      <c r="AP74">
        <v>3.2</v>
      </c>
      <c r="AQ74">
        <v>0</v>
      </c>
      <c r="AR74" s="2" t="s">
        <v>66</v>
      </c>
      <c r="AS74" s="2" t="s">
        <v>65</v>
      </c>
      <c r="AT74">
        <f>IFERROR(ROUND(IF(Tableau_query__18[[#This Row],[Sous famille]]&lt;&gt;"",VLOOKUP(Tableau_query__18[[#This Row],[Sous famille]],'A013 TCD'!G:H,2,FALSE),VLOOKUP(Tableau_query__18[[#This Row],[Famille d''achat]],'A013 TCD'!D:E,2,FALSE))/1000,0),"")</f>
        <v>359</v>
      </c>
    </row>
    <row r="75" spans="1:46" hidden="1" x14ac:dyDescent="0.25">
      <c r="A75" s="1">
        <v>79</v>
      </c>
      <c r="B75" s="2" t="s">
        <v>307</v>
      </c>
      <c r="C75" s="3">
        <v>46031</v>
      </c>
      <c r="D75" s="2" t="s">
        <v>308</v>
      </c>
      <c r="E75" s="2" t="s">
        <v>241</v>
      </c>
      <c r="F75" s="2" t="s">
        <v>247</v>
      </c>
      <c r="G75" s="2"/>
      <c r="H75" s="2" t="s">
        <v>69</v>
      </c>
      <c r="I75" s="2" t="s">
        <v>77</v>
      </c>
      <c r="J75" s="2" t="s">
        <v>71</v>
      </c>
      <c r="K75" s="2" t="s">
        <v>51</v>
      </c>
      <c r="L75" s="2" t="s">
        <v>52</v>
      </c>
      <c r="M75" s="2" t="s">
        <v>139</v>
      </c>
      <c r="N75" s="2" t="s">
        <v>86</v>
      </c>
      <c r="O75" s="2" t="s">
        <v>132</v>
      </c>
      <c r="P75" s="2" t="s">
        <v>117</v>
      </c>
      <c r="Q75" s="2" t="s">
        <v>97</v>
      </c>
      <c r="R75" s="2" t="s">
        <v>61</v>
      </c>
      <c r="S75" s="2" t="s">
        <v>59</v>
      </c>
      <c r="T75" s="2" t="s">
        <v>61</v>
      </c>
      <c r="U75" s="2" t="s">
        <v>61</v>
      </c>
      <c r="V75" s="2" t="s">
        <v>58</v>
      </c>
      <c r="W75" s="2" t="s">
        <v>59</v>
      </c>
      <c r="X75" s="2" t="s">
        <v>59</v>
      </c>
      <c r="Y75" s="2" t="s">
        <v>61</v>
      </c>
      <c r="Z75" s="2" t="s">
        <v>61</v>
      </c>
      <c r="AA75" s="2" t="s">
        <v>59</v>
      </c>
      <c r="AB75" s="2" t="s">
        <v>61</v>
      </c>
      <c r="AC75" s="2" t="s">
        <v>60</v>
      </c>
      <c r="AD75" s="2" t="s">
        <v>61</v>
      </c>
      <c r="AE75" s="2" t="s">
        <v>59</v>
      </c>
      <c r="AF75" s="2" t="s">
        <v>60</v>
      </c>
      <c r="AG75" s="2" t="s">
        <v>58</v>
      </c>
      <c r="AH75" s="2" t="s">
        <v>270</v>
      </c>
      <c r="AI75" s="4" t="s">
        <v>309</v>
      </c>
      <c r="AJ75" s="2" t="s">
        <v>89</v>
      </c>
      <c r="AK75" s="2" t="s">
        <v>310</v>
      </c>
      <c r="AL75" s="5">
        <v>4</v>
      </c>
      <c r="AM75" s="5">
        <v>3</v>
      </c>
      <c r="AN75">
        <v>3.2</v>
      </c>
      <c r="AO75">
        <v>6.4</v>
      </c>
      <c r="AP75">
        <v>0.8</v>
      </c>
      <c r="AQ75">
        <v>0</v>
      </c>
      <c r="AR75" s="2" t="s">
        <v>66</v>
      </c>
      <c r="AS75" s="2" t="s">
        <v>65</v>
      </c>
      <c r="AT75">
        <f>IFERROR(ROUND(IF(Tableau_query__18[[#This Row],[Sous famille]]&lt;&gt;"",VLOOKUP(Tableau_query__18[[#This Row],[Sous famille]],'A013 TCD'!G:H,2,FALSE),VLOOKUP(Tableau_query__18[[#This Row],[Famille d''achat]],'A013 TCD'!D:E,2,FALSE))/1000,0),"")</f>
        <v>46</v>
      </c>
    </row>
    <row r="76" spans="1:46" ht="30" hidden="1" x14ac:dyDescent="0.25">
      <c r="A76" s="1">
        <v>80</v>
      </c>
      <c r="B76" s="2" t="s">
        <v>311</v>
      </c>
      <c r="C76" s="3">
        <v>45965</v>
      </c>
      <c r="D76" s="2" t="s">
        <v>312</v>
      </c>
      <c r="E76" s="2" t="s">
        <v>241</v>
      </c>
      <c r="F76" s="2" t="s">
        <v>250</v>
      </c>
      <c r="G76" s="2" t="s">
        <v>313</v>
      </c>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4" t="s">
        <v>314</v>
      </c>
      <c r="AJ76" s="2"/>
      <c r="AK76" s="2"/>
      <c r="AL76" s="5">
        <v>0</v>
      </c>
      <c r="AM76" s="5">
        <v>0</v>
      </c>
      <c r="AN76">
        <v>0</v>
      </c>
      <c r="AO76">
        <v>0</v>
      </c>
      <c r="AP76">
        <v>0</v>
      </c>
      <c r="AQ76">
        <v>0</v>
      </c>
      <c r="AR76" s="2" t="s">
        <v>66</v>
      </c>
      <c r="AS76" s="2" t="s">
        <v>65</v>
      </c>
      <c r="AT76">
        <f>IFERROR(ROUND(IF(Tableau_query__18[[#This Row],[Sous famille]]&lt;&gt;"",VLOOKUP(Tableau_query__18[[#This Row],[Sous famille]],'A013 TCD'!G:H,2,FALSE),VLOOKUP(Tableau_query__18[[#This Row],[Famille d''achat]],'A013 TCD'!D:E,2,FALSE))/1000,0),"")</f>
        <v>60</v>
      </c>
    </row>
    <row r="77" spans="1:46" hidden="1" x14ac:dyDescent="0.25">
      <c r="A77" s="1">
        <v>81</v>
      </c>
      <c r="B77" s="2" t="s">
        <v>315</v>
      </c>
      <c r="C77" s="3"/>
      <c r="D77" s="2" t="s">
        <v>316</v>
      </c>
      <c r="E77" s="2" t="s">
        <v>241</v>
      </c>
      <c r="F77" s="2" t="s">
        <v>148</v>
      </c>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4"/>
      <c r="AJ77" s="2"/>
      <c r="AK77" s="2"/>
      <c r="AL77" s="5"/>
      <c r="AM77" s="5"/>
      <c r="AR77" s="2" t="s">
        <v>66</v>
      </c>
      <c r="AS77" s="2" t="s">
        <v>65</v>
      </c>
      <c r="AT77">
        <f>IFERROR(ROUND(IF(Tableau_query__18[[#This Row],[Sous famille]]&lt;&gt;"",VLOOKUP(Tableau_query__18[[#This Row],[Sous famille]],'A013 TCD'!G:H,2,FALSE),VLOOKUP(Tableau_query__18[[#This Row],[Famille d''achat]],'A013 TCD'!D:E,2,FALSE))/1000,0),"")</f>
        <v>42</v>
      </c>
    </row>
    <row r="78" spans="1:46" ht="60" hidden="1" x14ac:dyDescent="0.25">
      <c r="A78" s="1">
        <v>82</v>
      </c>
      <c r="B78" s="2" t="s">
        <v>317</v>
      </c>
      <c r="C78" s="3">
        <v>46030</v>
      </c>
      <c r="D78" s="2" t="s">
        <v>318</v>
      </c>
      <c r="E78" s="2" t="s">
        <v>241</v>
      </c>
      <c r="F78" s="2" t="s">
        <v>247</v>
      </c>
      <c r="G78" s="2" t="s">
        <v>319</v>
      </c>
      <c r="H78" s="2" t="s">
        <v>116</v>
      </c>
      <c r="I78" s="2" t="s">
        <v>70</v>
      </c>
      <c r="J78" s="2" t="s">
        <v>153</v>
      </c>
      <c r="K78" s="2" t="s">
        <v>72</v>
      </c>
      <c r="L78" s="2" t="s">
        <v>52</v>
      </c>
      <c r="M78" s="2" t="s">
        <v>94</v>
      </c>
      <c r="N78" s="2" t="s">
        <v>86</v>
      </c>
      <c r="O78" s="2" t="s">
        <v>55</v>
      </c>
      <c r="P78" s="2" t="s">
        <v>155</v>
      </c>
      <c r="Q78" s="2" t="s">
        <v>97</v>
      </c>
      <c r="R78" s="2" t="s">
        <v>59</v>
      </c>
      <c r="S78" s="2" t="s">
        <v>58</v>
      </c>
      <c r="T78" s="2" t="s">
        <v>59</v>
      </c>
      <c r="U78" s="2" t="s">
        <v>58</v>
      </c>
      <c r="V78" s="2" t="s">
        <v>59</v>
      </c>
      <c r="W78" s="2" t="s">
        <v>58</v>
      </c>
      <c r="X78" s="2" t="s">
        <v>61</v>
      </c>
      <c r="Y78" s="2" t="s">
        <v>59</v>
      </c>
      <c r="Z78" s="2" t="s">
        <v>61</v>
      </c>
      <c r="AA78" s="2" t="s">
        <v>59</v>
      </c>
      <c r="AB78" s="2" t="s">
        <v>58</v>
      </c>
      <c r="AC78" s="2" t="s">
        <v>58</v>
      </c>
      <c r="AD78" s="2" t="s">
        <v>61</v>
      </c>
      <c r="AE78" s="2" t="s">
        <v>59</v>
      </c>
      <c r="AF78" s="2" t="s">
        <v>61</v>
      </c>
      <c r="AG78" s="2" t="s">
        <v>59</v>
      </c>
      <c r="AH78" s="2" t="s">
        <v>87</v>
      </c>
      <c r="AI78" s="4" t="s">
        <v>320</v>
      </c>
      <c r="AJ78" s="2" t="s">
        <v>321</v>
      </c>
      <c r="AK78" s="2" t="s">
        <v>322</v>
      </c>
      <c r="AL78" s="5">
        <v>4.5</v>
      </c>
      <c r="AM78" s="5">
        <v>3</v>
      </c>
      <c r="AN78">
        <v>0.8</v>
      </c>
      <c r="AO78">
        <v>0</v>
      </c>
      <c r="AP78">
        <v>0</v>
      </c>
      <c r="AQ78">
        <v>0</v>
      </c>
      <c r="AR78" s="2" t="s">
        <v>66</v>
      </c>
      <c r="AS78" s="2" t="s">
        <v>65</v>
      </c>
      <c r="AT78">
        <f>IFERROR(ROUND(IF(Tableau_query__18[[#This Row],[Sous famille]]&lt;&gt;"",VLOOKUP(Tableau_query__18[[#This Row],[Sous famille]],'A013 TCD'!G:H,2,FALSE),VLOOKUP(Tableau_query__18[[#This Row],[Famille d''achat]],'A013 TCD'!D:E,2,FALSE))/1000,0),"")</f>
        <v>59</v>
      </c>
    </row>
    <row r="79" spans="1:46" ht="225" hidden="1" x14ac:dyDescent="0.25">
      <c r="A79" s="1">
        <v>83</v>
      </c>
      <c r="B79" s="2" t="s">
        <v>323</v>
      </c>
      <c r="C79" s="3">
        <v>46091</v>
      </c>
      <c r="D79" s="2" t="s">
        <v>324</v>
      </c>
      <c r="E79" s="2" t="s">
        <v>241</v>
      </c>
      <c r="F79" s="2" t="s">
        <v>296</v>
      </c>
      <c r="G79" s="2"/>
      <c r="H79" s="2" t="s">
        <v>116</v>
      </c>
      <c r="I79" s="2" t="s">
        <v>70</v>
      </c>
      <c r="J79" s="2" t="s">
        <v>153</v>
      </c>
      <c r="K79" s="2"/>
      <c r="L79" s="2" t="s">
        <v>52</v>
      </c>
      <c r="M79" s="2" t="s">
        <v>94</v>
      </c>
      <c r="N79" s="2" t="s">
        <v>54</v>
      </c>
      <c r="O79" s="2" t="s">
        <v>55</v>
      </c>
      <c r="P79" s="2" t="s">
        <v>155</v>
      </c>
      <c r="Q79" s="2" t="s">
        <v>97</v>
      </c>
      <c r="R79" s="2"/>
      <c r="S79" s="2"/>
      <c r="T79" s="2" t="s">
        <v>59</v>
      </c>
      <c r="U79" s="2" t="s">
        <v>58</v>
      </c>
      <c r="V79" s="2" t="s">
        <v>58</v>
      </c>
      <c r="W79" s="2"/>
      <c r="X79" s="2" t="s">
        <v>59</v>
      </c>
      <c r="Y79" s="2" t="s">
        <v>59</v>
      </c>
      <c r="Z79" s="2" t="s">
        <v>58</v>
      </c>
      <c r="AA79" s="2"/>
      <c r="AB79" s="2"/>
      <c r="AC79" s="2" t="s">
        <v>58</v>
      </c>
      <c r="AD79" s="2" t="s">
        <v>59</v>
      </c>
      <c r="AE79" s="2" t="s">
        <v>58</v>
      </c>
      <c r="AF79" s="2"/>
      <c r="AG79" s="2" t="s">
        <v>59</v>
      </c>
      <c r="AH79" s="2" t="s">
        <v>98</v>
      </c>
      <c r="AI79" s="4" t="s">
        <v>325</v>
      </c>
      <c r="AJ79" s="2"/>
      <c r="AK79" s="2" t="s">
        <v>299</v>
      </c>
      <c r="AL79" s="5">
        <v>0</v>
      </c>
      <c r="AM79" s="5">
        <v>0</v>
      </c>
      <c r="AN79">
        <v>0</v>
      </c>
      <c r="AO79">
        <v>0</v>
      </c>
      <c r="AP79">
        <v>0</v>
      </c>
      <c r="AQ79">
        <v>0</v>
      </c>
      <c r="AR79" s="2" t="s">
        <v>66</v>
      </c>
      <c r="AS79" s="2" t="s">
        <v>65</v>
      </c>
      <c r="AT79">
        <f>IFERROR(ROUND(IF(Tableau_query__18[[#This Row],[Sous famille]]&lt;&gt;"",VLOOKUP(Tableau_query__18[[#This Row],[Sous famille]],'A013 TCD'!G:H,2,FALSE),VLOOKUP(Tableau_query__18[[#This Row],[Famille d''achat]],'A013 TCD'!D:E,2,FALSE))/1000,0),"")</f>
        <v>535</v>
      </c>
    </row>
    <row r="80" spans="1:46" hidden="1" x14ac:dyDescent="0.25">
      <c r="A80" s="1">
        <v>84</v>
      </c>
      <c r="B80" s="2" t="s">
        <v>326</v>
      </c>
      <c r="C80" s="3"/>
      <c r="D80" s="2" t="s">
        <v>327</v>
      </c>
      <c r="E80" s="2" t="s">
        <v>241</v>
      </c>
      <c r="F80" s="2" t="s">
        <v>250</v>
      </c>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4"/>
      <c r="AJ80" s="2"/>
      <c r="AK80" s="2"/>
      <c r="AL80" s="5"/>
      <c r="AM80" s="5"/>
      <c r="AR80" s="2" t="s">
        <v>66</v>
      </c>
      <c r="AS80" s="2" t="s">
        <v>65</v>
      </c>
      <c r="AT80">
        <f>IFERROR(ROUND(IF(Tableau_query__18[[#This Row],[Sous famille]]&lt;&gt;"",VLOOKUP(Tableau_query__18[[#This Row],[Sous famille]],'A013 TCD'!G:H,2,FALSE),VLOOKUP(Tableau_query__18[[#This Row],[Famille d''achat]],'A013 TCD'!D:E,2,FALSE))/1000,0),"")</f>
        <v>311</v>
      </c>
    </row>
    <row r="81" spans="1:46" x14ac:dyDescent="0.25">
      <c r="A81" s="1">
        <v>85</v>
      </c>
      <c r="B81" s="2" t="s">
        <v>328</v>
      </c>
      <c r="C81" s="3">
        <v>46106</v>
      </c>
      <c r="D81" s="2" t="s">
        <v>329</v>
      </c>
      <c r="E81" s="2" t="s">
        <v>241</v>
      </c>
      <c r="F81" s="2" t="s">
        <v>265</v>
      </c>
      <c r="G81" s="2" t="s">
        <v>330</v>
      </c>
      <c r="H81" s="2" t="s">
        <v>69</v>
      </c>
      <c r="I81" s="2" t="s">
        <v>77</v>
      </c>
      <c r="J81" s="2" t="s">
        <v>71</v>
      </c>
      <c r="K81" s="2" t="s">
        <v>72</v>
      </c>
      <c r="L81" s="2" t="s">
        <v>52</v>
      </c>
      <c r="M81" s="2" t="s">
        <v>94</v>
      </c>
      <c r="N81" s="2" t="s">
        <v>86</v>
      </c>
      <c r="O81" s="2" t="s">
        <v>55</v>
      </c>
      <c r="P81" s="2" t="s">
        <v>262</v>
      </c>
      <c r="Q81" s="2" t="s">
        <v>118</v>
      </c>
      <c r="R81" s="2" t="s">
        <v>61</v>
      </c>
      <c r="S81" s="2" t="s">
        <v>59</v>
      </c>
      <c r="T81" s="2" t="s">
        <v>59</v>
      </c>
      <c r="U81" s="2" t="s">
        <v>59</v>
      </c>
      <c r="V81" s="2" t="s">
        <v>59</v>
      </c>
      <c r="W81" s="2" t="s">
        <v>59</v>
      </c>
      <c r="X81" s="2" t="s">
        <v>61</v>
      </c>
      <c r="Y81" s="2" t="s">
        <v>58</v>
      </c>
      <c r="Z81" s="2" t="s">
        <v>59</v>
      </c>
      <c r="AA81" s="2" t="s">
        <v>59</v>
      </c>
      <c r="AB81" s="2" t="s">
        <v>59</v>
      </c>
      <c r="AC81" s="2" t="s">
        <v>59</v>
      </c>
      <c r="AD81" s="2" t="s">
        <v>59</v>
      </c>
      <c r="AE81" s="2" t="s">
        <v>59</v>
      </c>
      <c r="AF81" s="2" t="s">
        <v>59</v>
      </c>
      <c r="AG81" s="2" t="s">
        <v>59</v>
      </c>
      <c r="AH81" s="2" t="s">
        <v>98</v>
      </c>
      <c r="AI81" s="4" t="s">
        <v>331</v>
      </c>
      <c r="AJ81" s="2" t="s">
        <v>264</v>
      </c>
      <c r="AK81" s="2" t="s">
        <v>108</v>
      </c>
      <c r="AL81" s="5">
        <v>4</v>
      </c>
      <c r="AM81" s="5">
        <v>4.5</v>
      </c>
      <c r="AN81">
        <v>3.2</v>
      </c>
      <c r="AO81">
        <v>5.6</v>
      </c>
      <c r="AP81">
        <v>4.8</v>
      </c>
      <c r="AQ81">
        <v>1.6</v>
      </c>
      <c r="AR81" s="2" t="s">
        <v>66</v>
      </c>
      <c r="AS81" s="2" t="s">
        <v>65</v>
      </c>
      <c r="AT81">
        <f>IFERROR(ROUND(IF(Tableau_query__18[[#This Row],[Sous famille]]&lt;&gt;"",VLOOKUP(Tableau_query__18[[#This Row],[Sous famille]],'A013 TCD'!G:H,2,FALSE),VLOOKUP(Tableau_query__18[[#This Row],[Famille d''achat]],'A013 TCD'!D:E,2,FALSE))/1000,0),"")</f>
        <v>1435</v>
      </c>
    </row>
    <row r="82" spans="1:46" ht="45" x14ac:dyDescent="0.25">
      <c r="A82" s="1">
        <v>87</v>
      </c>
      <c r="B82" s="2" t="s">
        <v>332</v>
      </c>
      <c r="C82" s="3">
        <v>46106</v>
      </c>
      <c r="D82" s="2" t="s">
        <v>333</v>
      </c>
      <c r="E82" s="2" t="s">
        <v>241</v>
      </c>
      <c r="F82" s="2" t="s">
        <v>265</v>
      </c>
      <c r="G82" s="2"/>
      <c r="H82" s="2" t="s">
        <v>69</v>
      </c>
      <c r="I82" s="2" t="s">
        <v>77</v>
      </c>
      <c r="J82" s="2" t="s">
        <v>71</v>
      </c>
      <c r="K82" s="2" t="s">
        <v>72</v>
      </c>
      <c r="L82" s="2" t="s">
        <v>52</v>
      </c>
      <c r="M82" s="2" t="s">
        <v>94</v>
      </c>
      <c r="N82" s="2" t="s">
        <v>86</v>
      </c>
      <c r="O82" s="2" t="s">
        <v>132</v>
      </c>
      <c r="P82" s="2" t="s">
        <v>255</v>
      </c>
      <c r="Q82" s="2" t="s">
        <v>133</v>
      </c>
      <c r="R82" s="2" t="s">
        <v>61</v>
      </c>
      <c r="S82" s="2" t="s">
        <v>61</v>
      </c>
      <c r="T82" s="2" t="s">
        <v>61</v>
      </c>
      <c r="U82" s="2" t="s">
        <v>61</v>
      </c>
      <c r="V82" s="2" t="s">
        <v>61</v>
      </c>
      <c r="W82" s="2" t="s">
        <v>58</v>
      </c>
      <c r="X82" s="2" t="s">
        <v>59</v>
      </c>
      <c r="Y82" s="2" t="s">
        <v>59</v>
      </c>
      <c r="Z82" s="2" t="s">
        <v>59</v>
      </c>
      <c r="AA82" s="2" t="s">
        <v>59</v>
      </c>
      <c r="AB82" s="2" t="s">
        <v>61</v>
      </c>
      <c r="AC82" s="2" t="s">
        <v>60</v>
      </c>
      <c r="AD82" s="2" t="s">
        <v>59</v>
      </c>
      <c r="AE82" s="2" t="s">
        <v>59</v>
      </c>
      <c r="AF82" s="2" t="s">
        <v>61</v>
      </c>
      <c r="AG82" s="2" t="s">
        <v>59</v>
      </c>
      <c r="AH82" s="2" t="s">
        <v>98</v>
      </c>
      <c r="AI82" s="4" t="s">
        <v>334</v>
      </c>
      <c r="AJ82" s="2" t="s">
        <v>264</v>
      </c>
      <c r="AK82" s="2" t="s">
        <v>354</v>
      </c>
      <c r="AL82" s="5">
        <v>0</v>
      </c>
      <c r="AM82" s="5">
        <v>0</v>
      </c>
      <c r="AN82">
        <v>3.2</v>
      </c>
      <c r="AO82">
        <v>4.8</v>
      </c>
      <c r="AP82">
        <v>4</v>
      </c>
      <c r="AQ82">
        <v>0.8</v>
      </c>
      <c r="AR82" s="2" t="s">
        <v>66</v>
      </c>
      <c r="AS82" s="2" t="s">
        <v>65</v>
      </c>
      <c r="AT82">
        <f>IFERROR(ROUND(IF(Tableau_query__18[[#This Row],[Sous famille]]&lt;&gt;"",VLOOKUP(Tableau_query__18[[#This Row],[Sous famille]],'A013 TCD'!G:H,2,FALSE),VLOOKUP(Tableau_query__18[[#This Row],[Famille d''achat]],'A013 TCD'!D:E,2,FALSE))/1000,0),"")</f>
        <v>743</v>
      </c>
    </row>
    <row r="83" spans="1:46" ht="30" hidden="1" x14ac:dyDescent="0.25">
      <c r="A83" s="1">
        <v>88</v>
      </c>
      <c r="B83" s="2" t="s">
        <v>335</v>
      </c>
      <c r="C83" s="3">
        <v>45958</v>
      </c>
      <c r="D83" s="2" t="s">
        <v>336</v>
      </c>
      <c r="E83" s="2" t="s">
        <v>241</v>
      </c>
      <c r="F83" s="2" t="s">
        <v>259</v>
      </c>
      <c r="G83" s="2"/>
      <c r="H83" s="2" t="s">
        <v>337</v>
      </c>
      <c r="I83" s="2" t="s">
        <v>337</v>
      </c>
      <c r="J83" s="2" t="s">
        <v>338</v>
      </c>
      <c r="K83" s="2"/>
      <c r="L83" s="2" t="s">
        <v>337</v>
      </c>
      <c r="M83" s="2" t="s">
        <v>53</v>
      </c>
      <c r="N83" s="2" t="s">
        <v>86</v>
      </c>
      <c r="O83" s="2" t="s">
        <v>96</v>
      </c>
      <c r="P83" s="2" t="s">
        <v>155</v>
      </c>
      <c r="Q83" s="2" t="s">
        <v>118</v>
      </c>
      <c r="R83" s="2"/>
      <c r="S83" s="2"/>
      <c r="T83" s="2"/>
      <c r="U83" s="2"/>
      <c r="V83" s="2"/>
      <c r="W83" s="2"/>
      <c r="X83" s="2"/>
      <c r="Y83" s="2"/>
      <c r="Z83" s="2"/>
      <c r="AA83" s="2"/>
      <c r="AB83" s="2"/>
      <c r="AC83" s="2"/>
      <c r="AD83" s="2"/>
      <c r="AE83" s="2"/>
      <c r="AF83" s="2"/>
      <c r="AG83" s="2"/>
      <c r="AH83" s="2"/>
      <c r="AI83" s="4" t="s">
        <v>339</v>
      </c>
      <c r="AJ83" s="2"/>
      <c r="AK83" s="2"/>
      <c r="AL83" s="5">
        <v>0</v>
      </c>
      <c r="AM83" s="5">
        <v>0</v>
      </c>
      <c r="AN83">
        <v>0</v>
      </c>
      <c r="AO83">
        <v>0</v>
      </c>
      <c r="AP83">
        <v>0</v>
      </c>
      <c r="AQ83">
        <v>0</v>
      </c>
      <c r="AR83" s="2" t="s">
        <v>66</v>
      </c>
      <c r="AS83" s="2" t="s">
        <v>65</v>
      </c>
      <c r="AT83">
        <f>IFERROR(ROUND(IF(Tableau_query__18[[#This Row],[Sous famille]]&lt;&gt;"",VLOOKUP(Tableau_query__18[[#This Row],[Sous famille]],'A013 TCD'!G:H,2,FALSE),VLOOKUP(Tableau_query__18[[#This Row],[Famille d''achat]],'A013 TCD'!D:E,2,FALSE))/1000,0),"")</f>
        <v>436</v>
      </c>
    </row>
    <row r="84" spans="1:46" hidden="1" x14ac:dyDescent="0.25">
      <c r="A84" s="1">
        <v>89</v>
      </c>
      <c r="B84" s="2" t="s">
        <v>340</v>
      </c>
      <c r="C84" s="3"/>
      <c r="D84" s="2" t="s">
        <v>341</v>
      </c>
      <c r="E84" s="2" t="s">
        <v>241</v>
      </c>
      <c r="F84" s="2" t="s">
        <v>243</v>
      </c>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4"/>
      <c r="AJ84" s="2"/>
      <c r="AK84" s="2"/>
      <c r="AL84" s="5"/>
      <c r="AM84" s="5"/>
      <c r="AR84" s="2" t="s">
        <v>66</v>
      </c>
      <c r="AS84" s="2" t="s">
        <v>65</v>
      </c>
      <c r="AT84" t="str">
        <f>IFERROR(ROUND(IF(Tableau_query__18[[#This Row],[Sous famille]]&lt;&gt;"",VLOOKUP(Tableau_query__18[[#This Row],[Sous famille]],'A013 TCD'!G:H,2,FALSE),VLOOKUP(Tableau_query__18[[#This Row],[Famille d''achat]],'A013 TCD'!D:E,2,FALSE))/1000,0),"")</f>
        <v/>
      </c>
    </row>
    <row r="85" spans="1:46" hidden="1" x14ac:dyDescent="0.25">
      <c r="A85" s="1">
        <v>90</v>
      </c>
      <c r="B85" s="2" t="s">
        <v>342</v>
      </c>
      <c r="C85" s="3"/>
      <c r="D85" s="2" t="s">
        <v>343</v>
      </c>
      <c r="E85" s="2" t="s">
        <v>241</v>
      </c>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4"/>
      <c r="AJ85" s="2"/>
      <c r="AK85" s="2"/>
      <c r="AL85" s="5"/>
      <c r="AM85" s="5"/>
      <c r="AR85" s="2" t="s">
        <v>66</v>
      </c>
      <c r="AS85" s="2" t="s">
        <v>65</v>
      </c>
      <c r="AT85">
        <f>IFERROR(ROUND(IF(Tableau_query__18[[#This Row],[Sous famille]]&lt;&gt;"",VLOOKUP(Tableau_query__18[[#This Row],[Sous famille]],'A013 TCD'!G:H,2,FALSE),VLOOKUP(Tableau_query__18[[#This Row],[Famille d''achat]],'A013 TCD'!D:E,2,FALSE))/1000,0),"")</f>
        <v>251</v>
      </c>
    </row>
    <row r="86" spans="1:46" hidden="1" x14ac:dyDescent="0.25">
      <c r="A86" s="1">
        <v>91</v>
      </c>
      <c r="B86" s="2" t="s">
        <v>344</v>
      </c>
      <c r="C86" s="3"/>
      <c r="D86" s="2" t="s">
        <v>345</v>
      </c>
      <c r="E86" s="2" t="s">
        <v>241</v>
      </c>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4"/>
      <c r="AJ86" s="2"/>
      <c r="AK86" s="2"/>
      <c r="AL86" s="5"/>
      <c r="AM86" s="5"/>
      <c r="AR86" s="2" t="s">
        <v>66</v>
      </c>
      <c r="AS86" s="2" t="s">
        <v>65</v>
      </c>
      <c r="AT86">
        <f>IFERROR(ROUND(IF(Tableau_query__18[[#This Row],[Sous famille]]&lt;&gt;"",VLOOKUP(Tableau_query__18[[#This Row],[Sous famille]],'A013 TCD'!G:H,2,FALSE),VLOOKUP(Tableau_query__18[[#This Row],[Famille d''achat]],'A013 TCD'!D:E,2,FALSE))/1000,0),"")</f>
        <v>1134</v>
      </c>
    </row>
    <row r="87" spans="1:46" hidden="1" x14ac:dyDescent="0.25">
      <c r="A87" s="1">
        <v>92</v>
      </c>
      <c r="B87" s="2" t="s">
        <v>346</v>
      </c>
      <c r="C87" s="3"/>
      <c r="D87" s="2" t="s">
        <v>347</v>
      </c>
      <c r="E87" s="2" t="s">
        <v>241</v>
      </c>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4"/>
      <c r="AJ87" s="2"/>
      <c r="AK87" s="2"/>
      <c r="AL87" s="5"/>
      <c r="AM87" s="5"/>
      <c r="AR87" s="2" t="s">
        <v>66</v>
      </c>
      <c r="AS87" s="2" t="s">
        <v>65</v>
      </c>
      <c r="AT87">
        <f>IFERROR(ROUND(IF(Tableau_query__18[[#This Row],[Sous famille]]&lt;&gt;"",VLOOKUP(Tableau_query__18[[#This Row],[Sous famille]],'A013 TCD'!G:H,2,FALSE),VLOOKUP(Tableau_query__18[[#This Row],[Famille d''achat]],'A013 TCD'!D:E,2,FALSE))/1000,0),"")</f>
        <v>557</v>
      </c>
    </row>
    <row r="88" spans="1:46" hidden="1" x14ac:dyDescent="0.25">
      <c r="A88" s="1">
        <v>93</v>
      </c>
      <c r="B88" s="2" t="s">
        <v>348</v>
      </c>
      <c r="C88" s="3"/>
      <c r="D88" s="2" t="s">
        <v>349</v>
      </c>
      <c r="E88" s="2" t="s">
        <v>241</v>
      </c>
      <c r="F88" s="2" t="s">
        <v>243</v>
      </c>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4"/>
      <c r="AJ88" s="2"/>
      <c r="AK88" s="2"/>
      <c r="AL88" s="5"/>
      <c r="AM88" s="5"/>
      <c r="AR88" s="2" t="s">
        <v>66</v>
      </c>
      <c r="AS88" s="2" t="s">
        <v>65</v>
      </c>
      <c r="AT88">
        <f>IFERROR(ROUND(IF(Tableau_query__18[[#This Row],[Sous famille]]&lt;&gt;"",VLOOKUP(Tableau_query__18[[#This Row],[Sous famille]],'A013 TCD'!G:H,2,FALSE),VLOOKUP(Tableau_query__18[[#This Row],[Famille d''achat]],'A013 TCD'!D:E,2,FALSE))/1000,0),"")</f>
        <v>3549</v>
      </c>
    </row>
    <row r="89" spans="1:46" ht="30" hidden="1" x14ac:dyDescent="0.25">
      <c r="A89" s="1">
        <v>94</v>
      </c>
      <c r="B89" s="2" t="s">
        <v>350</v>
      </c>
      <c r="C89" s="3"/>
      <c r="D89" s="2" t="s">
        <v>351</v>
      </c>
      <c r="E89" s="2" t="s">
        <v>241</v>
      </c>
      <c r="F89" s="2" t="s">
        <v>247</v>
      </c>
      <c r="G89" s="2" t="s">
        <v>352</v>
      </c>
      <c r="H89" s="2" t="s">
        <v>253</v>
      </c>
      <c r="I89" s="2" t="s">
        <v>70</v>
      </c>
      <c r="J89" s="2" t="s">
        <v>71</v>
      </c>
      <c r="K89" s="2" t="s">
        <v>51</v>
      </c>
      <c r="L89" s="2" t="s">
        <v>52</v>
      </c>
      <c r="M89" s="2" t="s">
        <v>94</v>
      </c>
      <c r="N89" s="2" t="s">
        <v>86</v>
      </c>
      <c r="O89" s="2" t="s">
        <v>55</v>
      </c>
      <c r="P89" s="2" t="s">
        <v>117</v>
      </c>
      <c r="Q89" s="2" t="s">
        <v>97</v>
      </c>
      <c r="R89" s="2" t="s">
        <v>61</v>
      </c>
      <c r="S89" s="2" t="s">
        <v>58</v>
      </c>
      <c r="T89" s="2" t="s">
        <v>59</v>
      </c>
      <c r="U89" s="2" t="s">
        <v>59</v>
      </c>
      <c r="V89" s="2" t="s">
        <v>58</v>
      </c>
      <c r="W89" s="2" t="s">
        <v>58</v>
      </c>
      <c r="X89" s="2" t="s">
        <v>59</v>
      </c>
      <c r="Y89" s="2" t="s">
        <v>59</v>
      </c>
      <c r="Z89" s="2" t="s">
        <v>61</v>
      </c>
      <c r="AA89" s="2" t="s">
        <v>59</v>
      </c>
      <c r="AB89" s="2"/>
      <c r="AC89" s="2" t="s">
        <v>58</v>
      </c>
      <c r="AD89" s="2" t="s">
        <v>60</v>
      </c>
      <c r="AE89" s="2" t="s">
        <v>60</v>
      </c>
      <c r="AF89" s="2" t="s">
        <v>61</v>
      </c>
      <c r="AG89" s="2" t="s">
        <v>61</v>
      </c>
      <c r="AH89" s="2" t="s">
        <v>98</v>
      </c>
      <c r="AI89" s="4" t="s">
        <v>353</v>
      </c>
      <c r="AJ89" s="2"/>
      <c r="AK89" s="2" t="s">
        <v>354</v>
      </c>
      <c r="AL89" s="5">
        <v>6.5</v>
      </c>
      <c r="AM89" s="5">
        <v>3</v>
      </c>
      <c r="AN89">
        <v>4.8</v>
      </c>
      <c r="AO89">
        <v>2.4</v>
      </c>
      <c r="AP89">
        <v>1.6</v>
      </c>
      <c r="AQ89">
        <v>0</v>
      </c>
      <c r="AR89" s="2" t="s">
        <v>66</v>
      </c>
      <c r="AS89" s="2" t="s">
        <v>65</v>
      </c>
      <c r="AT89">
        <f>IFERROR(ROUND(IF(Tableau_query__18[[#This Row],[Sous famille]]&lt;&gt;"",VLOOKUP(Tableau_query__18[[#This Row],[Sous famille]],'A013 TCD'!G:H,2,FALSE),VLOOKUP(Tableau_query__18[[#This Row],[Famille d''achat]],'A013 TCD'!D:E,2,FALSE))/1000,0),"")</f>
        <v>368</v>
      </c>
    </row>
    <row r="90" spans="1:46" hidden="1" x14ac:dyDescent="0.25">
      <c r="A90" s="1">
        <v>95</v>
      </c>
      <c r="B90" s="2" t="s">
        <v>355</v>
      </c>
      <c r="C90" s="3"/>
      <c r="D90" s="2" t="s">
        <v>356</v>
      </c>
      <c r="E90" s="2" t="s">
        <v>241</v>
      </c>
      <c r="F90" s="2" t="s">
        <v>250</v>
      </c>
      <c r="G90" s="2" t="s">
        <v>357</v>
      </c>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4"/>
      <c r="AJ90" s="2"/>
      <c r="AK90" s="2"/>
      <c r="AL90" s="5">
        <v>0</v>
      </c>
      <c r="AM90" s="5">
        <v>0</v>
      </c>
      <c r="AN90">
        <v>0</v>
      </c>
      <c r="AO90">
        <v>0</v>
      </c>
      <c r="AP90">
        <v>0</v>
      </c>
      <c r="AQ90">
        <v>0</v>
      </c>
      <c r="AR90" s="2" t="s">
        <v>66</v>
      </c>
      <c r="AS90" s="2" t="s">
        <v>65</v>
      </c>
      <c r="AT90">
        <f>IFERROR(ROUND(IF(Tableau_query__18[[#This Row],[Sous famille]]&lt;&gt;"",VLOOKUP(Tableau_query__18[[#This Row],[Sous famille]],'A013 TCD'!G:H,2,FALSE),VLOOKUP(Tableau_query__18[[#This Row],[Famille d''achat]],'A013 TCD'!D:E,2,FALSE))/1000,0),"")</f>
        <v>1267</v>
      </c>
    </row>
    <row r="91" spans="1:46" hidden="1" x14ac:dyDescent="0.25">
      <c r="A91" s="1">
        <v>96</v>
      </c>
      <c r="B91" s="2" t="s">
        <v>358</v>
      </c>
      <c r="C91" s="3">
        <v>46111</v>
      </c>
      <c r="D91" s="2" t="s">
        <v>359</v>
      </c>
      <c r="E91" s="2" t="s">
        <v>241</v>
      </c>
      <c r="F91" s="2" t="s">
        <v>250</v>
      </c>
      <c r="G91" s="2" t="s">
        <v>360</v>
      </c>
      <c r="H91" s="2" t="s">
        <v>69</v>
      </c>
      <c r="I91" s="2" t="s">
        <v>124</v>
      </c>
      <c r="J91" s="2" t="s">
        <v>153</v>
      </c>
      <c r="K91" s="2"/>
      <c r="L91" s="2" t="s">
        <v>280</v>
      </c>
      <c r="M91" s="2" t="s">
        <v>361</v>
      </c>
      <c r="N91" s="2" t="s">
        <v>95</v>
      </c>
      <c r="O91" s="2" t="s">
        <v>55</v>
      </c>
      <c r="P91" s="2" t="s">
        <v>117</v>
      </c>
      <c r="Q91" s="2" t="s">
        <v>97</v>
      </c>
      <c r="R91" s="2"/>
      <c r="S91" s="2"/>
      <c r="T91" s="2"/>
      <c r="U91" s="2"/>
      <c r="V91" s="2"/>
      <c r="W91" s="2"/>
      <c r="X91" s="2"/>
      <c r="Y91" s="2"/>
      <c r="Z91" s="2"/>
      <c r="AA91" s="2"/>
      <c r="AB91" s="2"/>
      <c r="AC91" s="2"/>
      <c r="AD91" s="2"/>
      <c r="AE91" s="2"/>
      <c r="AF91" s="2"/>
      <c r="AG91" s="2"/>
      <c r="AH91" s="2"/>
      <c r="AI91" s="4"/>
      <c r="AJ91" s="2"/>
      <c r="AK91" s="2"/>
      <c r="AL91" s="5">
        <v>0</v>
      </c>
      <c r="AM91" s="5">
        <v>0</v>
      </c>
      <c r="AN91">
        <v>0</v>
      </c>
      <c r="AO91">
        <v>0</v>
      </c>
      <c r="AP91">
        <v>0</v>
      </c>
      <c r="AQ91">
        <v>0</v>
      </c>
      <c r="AR91" s="2" t="s">
        <v>66</v>
      </c>
      <c r="AS91" s="2" t="s">
        <v>65</v>
      </c>
      <c r="AT91" t="str">
        <f>IFERROR(ROUND(IF(Tableau_query__18[[#This Row],[Sous famille]]&lt;&gt;"",VLOOKUP(Tableau_query__18[[#This Row],[Sous famille]],'A013 TCD'!G:H,2,FALSE),VLOOKUP(Tableau_query__18[[#This Row],[Famille d''achat]],'A013 TCD'!D:E,2,FALSE))/1000,0),"")</f>
        <v/>
      </c>
    </row>
    <row r="92" spans="1:46" hidden="1" x14ac:dyDescent="0.25">
      <c r="A92" s="1">
        <v>97</v>
      </c>
      <c r="B92" s="2" t="s">
        <v>362</v>
      </c>
      <c r="C92" s="3"/>
      <c r="D92" s="2" t="s">
        <v>363</v>
      </c>
      <c r="E92" s="2" t="s">
        <v>241</v>
      </c>
      <c r="F92" s="2" t="s">
        <v>243</v>
      </c>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4"/>
      <c r="AJ92" s="2"/>
      <c r="AK92" s="2"/>
      <c r="AL92" s="5"/>
      <c r="AM92" s="5"/>
      <c r="AR92" s="2" t="s">
        <v>66</v>
      </c>
      <c r="AS92" s="2" t="s">
        <v>65</v>
      </c>
      <c r="AT92">
        <f>IFERROR(ROUND(IF(Tableau_query__18[[#This Row],[Sous famille]]&lt;&gt;"",VLOOKUP(Tableau_query__18[[#This Row],[Sous famille]],'A013 TCD'!G:H,2,FALSE),VLOOKUP(Tableau_query__18[[#This Row],[Famille d''achat]],'A013 TCD'!D:E,2,FALSE))/1000,0),"")</f>
        <v>193</v>
      </c>
    </row>
    <row r="93" spans="1:46" hidden="1" x14ac:dyDescent="0.25">
      <c r="A93" s="1">
        <v>98</v>
      </c>
      <c r="B93" s="2" t="s">
        <v>364</v>
      </c>
      <c r="C93" s="3">
        <v>46014</v>
      </c>
      <c r="D93" s="2" t="s">
        <v>365</v>
      </c>
      <c r="E93" s="2" t="s">
        <v>241</v>
      </c>
      <c r="F93" s="2" t="s">
        <v>247</v>
      </c>
      <c r="G93" s="2" t="s">
        <v>366</v>
      </c>
      <c r="H93" s="2" t="s">
        <v>116</v>
      </c>
      <c r="I93" s="2" t="s">
        <v>70</v>
      </c>
      <c r="J93" s="2" t="s">
        <v>153</v>
      </c>
      <c r="K93" s="2" t="s">
        <v>72</v>
      </c>
      <c r="L93" s="2" t="s">
        <v>52</v>
      </c>
      <c r="M93" s="2" t="s">
        <v>94</v>
      </c>
      <c r="N93" s="2" t="s">
        <v>86</v>
      </c>
      <c r="O93" s="2" t="s">
        <v>132</v>
      </c>
      <c r="P93" s="2" t="s">
        <v>117</v>
      </c>
      <c r="Q93" s="2" t="s">
        <v>133</v>
      </c>
      <c r="R93" s="2" t="s">
        <v>59</v>
      </c>
      <c r="S93" s="2" t="s">
        <v>59</v>
      </c>
      <c r="T93" s="2" t="s">
        <v>60</v>
      </c>
      <c r="U93" s="2" t="s">
        <v>60</v>
      </c>
      <c r="V93" s="2" t="s">
        <v>59</v>
      </c>
      <c r="W93" s="2" t="s">
        <v>58</v>
      </c>
      <c r="X93" s="2" t="s">
        <v>60</v>
      </c>
      <c r="Y93" s="2" t="s">
        <v>60</v>
      </c>
      <c r="Z93" s="2" t="s">
        <v>60</v>
      </c>
      <c r="AA93" s="2" t="s">
        <v>61</v>
      </c>
      <c r="AB93" s="2" t="s">
        <v>58</v>
      </c>
      <c r="AC93" s="2" t="s">
        <v>60</v>
      </c>
      <c r="AD93" s="2" t="s">
        <v>60</v>
      </c>
      <c r="AE93" s="2" t="s">
        <v>60</v>
      </c>
      <c r="AF93" s="2" t="s">
        <v>58</v>
      </c>
      <c r="AG93" s="2" t="s">
        <v>59</v>
      </c>
      <c r="AH93" s="2" t="s">
        <v>270</v>
      </c>
      <c r="AI93" s="4" t="s">
        <v>367</v>
      </c>
      <c r="AJ93" s="2" t="s">
        <v>89</v>
      </c>
      <c r="AK93" s="2" t="s">
        <v>299</v>
      </c>
      <c r="AL93" s="5">
        <v>7.5</v>
      </c>
      <c r="AM93" s="5">
        <v>7.5</v>
      </c>
      <c r="AN93">
        <v>0.8</v>
      </c>
      <c r="AO93">
        <v>4</v>
      </c>
      <c r="AP93">
        <v>0</v>
      </c>
      <c r="AQ93">
        <v>0</v>
      </c>
      <c r="AR93" s="2" t="s">
        <v>66</v>
      </c>
      <c r="AS93" s="2" t="s">
        <v>65</v>
      </c>
      <c r="AT93" t="str">
        <f>IFERROR(ROUND(IF(Tableau_query__18[[#This Row],[Sous famille]]&lt;&gt;"",VLOOKUP(Tableau_query__18[[#This Row],[Sous famille]],'A013 TCD'!G:H,2,FALSE),VLOOKUP(Tableau_query__18[[#This Row],[Famille d''achat]],'A013 TCD'!D:E,2,FALSE))/1000,0),"")</f>
        <v/>
      </c>
    </row>
    <row r="94" spans="1:46" ht="90" x14ac:dyDescent="0.25">
      <c r="A94" s="1">
        <v>99</v>
      </c>
      <c r="B94" s="2" t="s">
        <v>368</v>
      </c>
      <c r="C94" s="3">
        <v>46107</v>
      </c>
      <c r="D94" s="2" t="s">
        <v>369</v>
      </c>
      <c r="E94" s="2" t="s">
        <v>241</v>
      </c>
      <c r="F94" s="2" t="s">
        <v>265</v>
      </c>
      <c r="G94" s="2"/>
      <c r="H94" s="2" t="s">
        <v>116</v>
      </c>
      <c r="I94" s="2" t="s">
        <v>77</v>
      </c>
      <c r="J94" s="2" t="s">
        <v>71</v>
      </c>
      <c r="K94" s="2" t="s">
        <v>72</v>
      </c>
      <c r="L94" s="2" t="s">
        <v>52</v>
      </c>
      <c r="M94" s="2" t="s">
        <v>254</v>
      </c>
      <c r="N94" s="2" t="s">
        <v>79</v>
      </c>
      <c r="O94" s="2" t="s">
        <v>132</v>
      </c>
      <c r="P94" s="2" t="s">
        <v>117</v>
      </c>
      <c r="Q94" s="2" t="s">
        <v>118</v>
      </c>
      <c r="R94" s="2" t="s">
        <v>61</v>
      </c>
      <c r="S94" s="2" t="s">
        <v>59</v>
      </c>
      <c r="T94" s="2" t="s">
        <v>59</v>
      </c>
      <c r="U94" s="2" t="s">
        <v>59</v>
      </c>
      <c r="V94" s="2" t="s">
        <v>59</v>
      </c>
      <c r="W94" s="2" t="s">
        <v>59</v>
      </c>
      <c r="X94" s="2" t="s">
        <v>59</v>
      </c>
      <c r="Y94" s="2" t="s">
        <v>59</v>
      </c>
      <c r="Z94" s="2" t="s">
        <v>58</v>
      </c>
      <c r="AA94" s="2" t="s">
        <v>59</v>
      </c>
      <c r="AB94" s="2"/>
      <c r="AC94" s="2" t="s">
        <v>59</v>
      </c>
      <c r="AD94" s="2" t="s">
        <v>59</v>
      </c>
      <c r="AE94" s="2" t="s">
        <v>59</v>
      </c>
      <c r="AF94" s="2" t="s">
        <v>59</v>
      </c>
      <c r="AG94" s="2" t="s">
        <v>59</v>
      </c>
      <c r="AH94" s="2" t="s">
        <v>105</v>
      </c>
      <c r="AI94" s="4" t="s">
        <v>370</v>
      </c>
      <c r="AJ94" s="2" t="s">
        <v>371</v>
      </c>
      <c r="AK94" s="2" t="s">
        <v>82</v>
      </c>
      <c r="AL94" s="5">
        <v>3</v>
      </c>
      <c r="AM94" s="5">
        <v>4.5</v>
      </c>
      <c r="AN94">
        <v>2.4</v>
      </c>
      <c r="AO94">
        <v>8.8000000000000007</v>
      </c>
      <c r="AP94">
        <v>2.4</v>
      </c>
      <c r="AQ94">
        <v>0</v>
      </c>
      <c r="AR94" s="2" t="s">
        <v>66</v>
      </c>
      <c r="AS94" s="2" t="s">
        <v>65</v>
      </c>
      <c r="AT94">
        <f>IFERROR(ROUND(IF(Tableau_query__18[[#This Row],[Sous famille]]&lt;&gt;"",VLOOKUP(Tableau_query__18[[#This Row],[Sous famille]],'A013 TCD'!G:H,2,FALSE),VLOOKUP(Tableau_query__18[[#This Row],[Famille d''achat]],'A013 TCD'!D:E,2,FALSE))/1000,0),"")</f>
        <v>1567</v>
      </c>
    </row>
    <row r="95" spans="1:46" hidden="1" x14ac:dyDescent="0.25">
      <c r="A95" s="1">
        <v>100</v>
      </c>
      <c r="B95" s="2" t="s">
        <v>372</v>
      </c>
      <c r="C95" s="3"/>
      <c r="D95" s="2" t="s">
        <v>373</v>
      </c>
      <c r="E95" s="2" t="s">
        <v>241</v>
      </c>
      <c r="F95" s="2" t="s">
        <v>250</v>
      </c>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4"/>
      <c r="AJ95" s="2"/>
      <c r="AK95" s="2"/>
      <c r="AL95" s="5"/>
      <c r="AM95" s="5"/>
      <c r="AR95" s="2" t="s">
        <v>66</v>
      </c>
      <c r="AS95" s="2" t="s">
        <v>65</v>
      </c>
      <c r="AT95">
        <f>IFERROR(ROUND(IF(Tableau_query__18[[#This Row],[Sous famille]]&lt;&gt;"",VLOOKUP(Tableau_query__18[[#This Row],[Sous famille]],'A013 TCD'!G:H,2,FALSE),VLOOKUP(Tableau_query__18[[#This Row],[Famille d''achat]],'A013 TCD'!D:E,2,FALSE))/1000,0),"")</f>
        <v>47</v>
      </c>
    </row>
    <row r="96" spans="1:46" hidden="1" x14ac:dyDescent="0.25">
      <c r="A96" s="1">
        <v>101</v>
      </c>
      <c r="B96" s="2" t="s">
        <v>374</v>
      </c>
      <c r="C96" s="3">
        <v>46014</v>
      </c>
      <c r="D96" s="2" t="s">
        <v>375</v>
      </c>
      <c r="E96" s="2" t="s">
        <v>241</v>
      </c>
      <c r="F96" s="2" t="s">
        <v>247</v>
      </c>
      <c r="G96" s="2"/>
      <c r="H96" s="2" t="s">
        <v>69</v>
      </c>
      <c r="I96" s="2" t="s">
        <v>77</v>
      </c>
      <c r="J96" s="2" t="s">
        <v>153</v>
      </c>
      <c r="K96" s="2" t="s">
        <v>72</v>
      </c>
      <c r="L96" s="2" t="s">
        <v>280</v>
      </c>
      <c r="M96" s="2" t="s">
        <v>94</v>
      </c>
      <c r="N96" s="2" t="s">
        <v>54</v>
      </c>
      <c r="O96" s="2" t="s">
        <v>132</v>
      </c>
      <c r="P96" s="2" t="s">
        <v>155</v>
      </c>
      <c r="Q96" s="2" t="s">
        <v>97</v>
      </c>
      <c r="R96" s="2" t="s">
        <v>59</v>
      </c>
      <c r="S96" s="2" t="s">
        <v>60</v>
      </c>
      <c r="T96" s="2" t="s">
        <v>59</v>
      </c>
      <c r="U96" s="2" t="s">
        <v>58</v>
      </c>
      <c r="V96" s="2" t="s">
        <v>58</v>
      </c>
      <c r="W96" s="2" t="s">
        <v>58</v>
      </c>
      <c r="X96" s="2" t="s">
        <v>58</v>
      </c>
      <c r="Y96" s="2" t="s">
        <v>59</v>
      </c>
      <c r="Z96" s="2" t="s">
        <v>60</v>
      </c>
      <c r="AA96" s="2" t="s">
        <v>60</v>
      </c>
      <c r="AB96" s="2" t="s">
        <v>58</v>
      </c>
      <c r="AC96" s="2" t="s">
        <v>58</v>
      </c>
      <c r="AD96" s="2" t="s">
        <v>60</v>
      </c>
      <c r="AE96" s="2" t="s">
        <v>60</v>
      </c>
      <c r="AF96" s="2" t="s">
        <v>58</v>
      </c>
      <c r="AG96" s="2" t="s">
        <v>58</v>
      </c>
      <c r="AH96" s="2" t="s">
        <v>98</v>
      </c>
      <c r="AI96" s="4" t="s">
        <v>376</v>
      </c>
      <c r="AJ96" s="2" t="s">
        <v>264</v>
      </c>
      <c r="AK96" s="2" t="s">
        <v>283</v>
      </c>
      <c r="AL96" s="5">
        <v>6</v>
      </c>
      <c r="AM96" s="5">
        <v>3</v>
      </c>
      <c r="AN96">
        <v>0</v>
      </c>
      <c r="AO96">
        <v>0</v>
      </c>
      <c r="AP96">
        <v>0</v>
      </c>
      <c r="AQ96">
        <v>0</v>
      </c>
      <c r="AR96" s="2" t="s">
        <v>66</v>
      </c>
      <c r="AS96" s="2" t="s">
        <v>65</v>
      </c>
      <c r="AT96">
        <f>IFERROR(ROUND(IF(Tableau_query__18[[#This Row],[Sous famille]]&lt;&gt;"",VLOOKUP(Tableau_query__18[[#This Row],[Sous famille]],'A013 TCD'!G:H,2,FALSE),VLOOKUP(Tableau_query__18[[#This Row],[Famille d''achat]],'A013 TCD'!D:E,2,FALSE))/1000,0),"")</f>
        <v>220</v>
      </c>
    </row>
    <row r="97" spans="1:46" ht="270" x14ac:dyDescent="0.25">
      <c r="A97" s="1">
        <v>102</v>
      </c>
      <c r="B97" s="2" t="s">
        <v>1035</v>
      </c>
      <c r="C97" s="3">
        <v>46106</v>
      </c>
      <c r="D97" s="2" t="s">
        <v>377</v>
      </c>
      <c r="E97" s="2" t="s">
        <v>241</v>
      </c>
      <c r="F97" s="2" t="s">
        <v>265</v>
      </c>
      <c r="G97" s="2" t="s">
        <v>528</v>
      </c>
      <c r="H97" s="2" t="s">
        <v>69</v>
      </c>
      <c r="I97" s="2" t="s">
        <v>77</v>
      </c>
      <c r="J97" s="2" t="s">
        <v>103</v>
      </c>
      <c r="K97" s="2" t="s">
        <v>72</v>
      </c>
      <c r="L97" s="2" t="s">
        <v>378</v>
      </c>
      <c r="M97" s="2" t="s">
        <v>361</v>
      </c>
      <c r="N97" s="2" t="s">
        <v>86</v>
      </c>
      <c r="O97" s="2" t="s">
        <v>96</v>
      </c>
      <c r="P97" s="2" t="s">
        <v>117</v>
      </c>
      <c r="Q97" s="2" t="s">
        <v>97</v>
      </c>
      <c r="R97" s="2" t="s">
        <v>61</v>
      </c>
      <c r="S97" s="2" t="s">
        <v>59</v>
      </c>
      <c r="T97" s="2" t="s">
        <v>61</v>
      </c>
      <c r="U97" s="2" t="s">
        <v>59</v>
      </c>
      <c r="V97" s="2" t="s">
        <v>111</v>
      </c>
      <c r="W97" s="2" t="s">
        <v>59</v>
      </c>
      <c r="X97" s="2" t="s">
        <v>61</v>
      </c>
      <c r="Y97" s="2" t="s">
        <v>61</v>
      </c>
      <c r="Z97" s="2" t="s">
        <v>58</v>
      </c>
      <c r="AA97" s="2" t="s">
        <v>61</v>
      </c>
      <c r="AB97" s="2" t="s">
        <v>60</v>
      </c>
      <c r="AC97" s="2" t="s">
        <v>58</v>
      </c>
      <c r="AD97" s="2" t="s">
        <v>61</v>
      </c>
      <c r="AE97" s="2" t="s">
        <v>59</v>
      </c>
      <c r="AF97" s="2" t="s">
        <v>59</v>
      </c>
      <c r="AG97" s="2" t="s">
        <v>61</v>
      </c>
      <c r="AH97" s="2" t="s">
        <v>98</v>
      </c>
      <c r="AI97" s="4" t="s">
        <v>379</v>
      </c>
      <c r="AJ97" s="2" t="s">
        <v>264</v>
      </c>
      <c r="AK97" s="2" t="s">
        <v>354</v>
      </c>
      <c r="AL97" s="5">
        <v>4</v>
      </c>
      <c r="AM97" s="5">
        <v>5.5</v>
      </c>
      <c r="AN97">
        <v>6.4</v>
      </c>
      <c r="AO97">
        <v>4.8</v>
      </c>
      <c r="AP97">
        <v>4.8</v>
      </c>
      <c r="AQ97">
        <v>3.2</v>
      </c>
      <c r="AR97" s="2" t="s">
        <v>66</v>
      </c>
      <c r="AS97" s="2" t="s">
        <v>65</v>
      </c>
      <c r="AT97">
        <f>IFERROR(ROUND(IF(Tableau_query__18[[#This Row],[Sous famille]]&lt;&gt;"",VLOOKUP(Tableau_query__18[[#This Row],[Sous famille]],'A013 TCD'!G:H,2,FALSE),VLOOKUP(Tableau_query__18[[#This Row],[Famille d''achat]],'A013 TCD'!D:E,2,FALSE))/1000,0),"")</f>
        <v>1850</v>
      </c>
    </row>
    <row r="98" spans="1:46" hidden="1" x14ac:dyDescent="0.25">
      <c r="A98" s="1">
        <v>103</v>
      </c>
      <c r="B98" s="2" t="s">
        <v>380</v>
      </c>
      <c r="C98" s="3"/>
      <c r="D98" s="2" t="s">
        <v>381</v>
      </c>
      <c r="E98" s="2" t="s">
        <v>241</v>
      </c>
      <c r="F98" s="2" t="s">
        <v>243</v>
      </c>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4"/>
      <c r="AJ98" s="2"/>
      <c r="AK98" s="2"/>
      <c r="AL98" s="5"/>
      <c r="AM98" s="5"/>
      <c r="AR98" s="2" t="s">
        <v>66</v>
      </c>
      <c r="AS98" s="2" t="s">
        <v>65</v>
      </c>
      <c r="AT98">
        <f>IFERROR(ROUND(IF(Tableau_query__18[[#This Row],[Sous famille]]&lt;&gt;"",VLOOKUP(Tableau_query__18[[#This Row],[Sous famille]],'A013 TCD'!G:H,2,FALSE),VLOOKUP(Tableau_query__18[[#This Row],[Famille d''achat]],'A013 TCD'!D:E,2,FALSE))/1000,0),"")</f>
        <v>360</v>
      </c>
    </row>
    <row r="99" spans="1:46" ht="60" hidden="1" x14ac:dyDescent="0.25">
      <c r="A99" s="1">
        <v>104</v>
      </c>
      <c r="B99" s="2" t="s">
        <v>382</v>
      </c>
      <c r="C99" s="3">
        <v>45959</v>
      </c>
      <c r="D99" s="2" t="s">
        <v>383</v>
      </c>
      <c r="E99" s="2" t="s">
        <v>241</v>
      </c>
      <c r="F99" s="2" t="s">
        <v>259</v>
      </c>
      <c r="G99" s="2"/>
      <c r="H99" s="2" t="s">
        <v>69</v>
      </c>
      <c r="I99" s="2" t="s">
        <v>70</v>
      </c>
      <c r="J99" s="2" t="s">
        <v>71</v>
      </c>
      <c r="K99" s="2"/>
      <c r="L99" s="2" t="s">
        <v>52</v>
      </c>
      <c r="M99" s="2" t="s">
        <v>254</v>
      </c>
      <c r="N99" s="2" t="s">
        <v>86</v>
      </c>
      <c r="O99" s="2" t="s">
        <v>96</v>
      </c>
      <c r="P99" s="2" t="s">
        <v>255</v>
      </c>
      <c r="Q99" s="2" t="s">
        <v>118</v>
      </c>
      <c r="R99" s="2"/>
      <c r="S99" s="2"/>
      <c r="T99" s="2" t="s">
        <v>61</v>
      </c>
      <c r="U99" s="2" t="s">
        <v>111</v>
      </c>
      <c r="V99" s="2" t="s">
        <v>61</v>
      </c>
      <c r="W99" s="2"/>
      <c r="X99" s="2" t="s">
        <v>61</v>
      </c>
      <c r="Y99" s="2" t="s">
        <v>61</v>
      </c>
      <c r="Z99" s="2" t="s">
        <v>59</v>
      </c>
      <c r="AA99" s="2"/>
      <c r="AB99" s="2"/>
      <c r="AC99" s="2" t="s">
        <v>58</v>
      </c>
      <c r="AD99" s="2" t="s">
        <v>61</v>
      </c>
      <c r="AE99" s="2" t="s">
        <v>61</v>
      </c>
      <c r="AF99" s="2"/>
      <c r="AG99" s="2" t="s">
        <v>59</v>
      </c>
      <c r="AH99" s="2" t="s">
        <v>98</v>
      </c>
      <c r="AI99" s="4" t="s">
        <v>384</v>
      </c>
      <c r="AJ99" s="2" t="s">
        <v>385</v>
      </c>
      <c r="AK99" s="2" t="s">
        <v>299</v>
      </c>
      <c r="AL99" s="5">
        <v>3</v>
      </c>
      <c r="AM99" s="5">
        <v>6</v>
      </c>
      <c r="AN99">
        <v>2.4</v>
      </c>
      <c r="AO99">
        <v>8</v>
      </c>
      <c r="AP99">
        <v>1.6</v>
      </c>
      <c r="AQ99">
        <v>0.8</v>
      </c>
      <c r="AR99" s="2" t="s">
        <v>66</v>
      </c>
      <c r="AS99" s="2" t="s">
        <v>65</v>
      </c>
      <c r="AT99">
        <f>IFERROR(ROUND(IF(Tableau_query__18[[#This Row],[Sous famille]]&lt;&gt;"",VLOOKUP(Tableau_query__18[[#This Row],[Sous famille]],'A013 TCD'!G:H,2,FALSE),VLOOKUP(Tableau_query__18[[#This Row],[Famille d''achat]],'A013 TCD'!D:E,2,FALSE))/1000,0),"")</f>
        <v>3885</v>
      </c>
    </row>
    <row r="100" spans="1:46" hidden="1" x14ac:dyDescent="0.25">
      <c r="A100" s="1">
        <v>105</v>
      </c>
      <c r="B100" s="2" t="s">
        <v>386</v>
      </c>
      <c r="C100" s="3"/>
      <c r="D100" s="2" t="s">
        <v>387</v>
      </c>
      <c r="E100" s="2" t="s">
        <v>241</v>
      </c>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4"/>
      <c r="AJ100" s="2"/>
      <c r="AK100" s="2"/>
      <c r="AL100" s="5"/>
      <c r="AM100" s="5"/>
      <c r="AR100" s="2" t="s">
        <v>66</v>
      </c>
      <c r="AS100" s="2" t="s">
        <v>65</v>
      </c>
      <c r="AT100">
        <f>IFERROR(ROUND(IF(Tableau_query__18[[#This Row],[Sous famille]]&lt;&gt;"",VLOOKUP(Tableau_query__18[[#This Row],[Sous famille]],'A013 TCD'!G:H,2,FALSE),VLOOKUP(Tableau_query__18[[#This Row],[Famille d''achat]],'A013 TCD'!D:E,2,FALSE))/1000,0),"")</f>
        <v>309</v>
      </c>
    </row>
    <row r="101" spans="1:46" ht="240" x14ac:dyDescent="0.25">
      <c r="A101" s="1">
        <v>106</v>
      </c>
      <c r="B101" s="2" t="s">
        <v>388</v>
      </c>
      <c r="C101" s="3">
        <v>46106</v>
      </c>
      <c r="D101" s="2" t="s">
        <v>389</v>
      </c>
      <c r="E101" s="2" t="s">
        <v>241</v>
      </c>
      <c r="F101" s="2" t="s">
        <v>265</v>
      </c>
      <c r="G101" s="2"/>
      <c r="H101" s="2" t="s">
        <v>116</v>
      </c>
      <c r="I101" s="2" t="s">
        <v>70</v>
      </c>
      <c r="J101" s="2" t="s">
        <v>153</v>
      </c>
      <c r="K101" s="2" t="s">
        <v>72</v>
      </c>
      <c r="L101" s="2" t="s">
        <v>378</v>
      </c>
      <c r="M101" s="2" t="s">
        <v>361</v>
      </c>
      <c r="N101" s="2" t="s">
        <v>54</v>
      </c>
      <c r="O101" s="2" t="s">
        <v>132</v>
      </c>
      <c r="P101" s="2" t="s">
        <v>155</v>
      </c>
      <c r="Q101" s="2" t="s">
        <v>97</v>
      </c>
      <c r="R101" s="2" t="s">
        <v>60</v>
      </c>
      <c r="S101" s="2" t="s">
        <v>59</v>
      </c>
      <c r="T101" s="2" t="s">
        <v>59</v>
      </c>
      <c r="U101" s="2" t="s">
        <v>59</v>
      </c>
      <c r="V101" s="2" t="s">
        <v>59</v>
      </c>
      <c r="W101" s="2" t="s">
        <v>59</v>
      </c>
      <c r="X101" s="2" t="s">
        <v>59</v>
      </c>
      <c r="Y101" s="2" t="s">
        <v>59</v>
      </c>
      <c r="Z101" s="2" t="s">
        <v>59</v>
      </c>
      <c r="AA101" s="2" t="s">
        <v>59</v>
      </c>
      <c r="AB101" s="2"/>
      <c r="AC101" s="2" t="s">
        <v>59</v>
      </c>
      <c r="AD101" s="2" t="s">
        <v>59</v>
      </c>
      <c r="AE101" s="2" t="s">
        <v>59</v>
      </c>
      <c r="AF101" s="2" t="s">
        <v>61</v>
      </c>
      <c r="AG101" s="2" t="s">
        <v>59</v>
      </c>
      <c r="AH101" s="2" t="s">
        <v>98</v>
      </c>
      <c r="AI101" s="4" t="s">
        <v>390</v>
      </c>
      <c r="AJ101" s="2" t="s">
        <v>81</v>
      </c>
      <c r="AK101" s="2" t="s">
        <v>1038</v>
      </c>
      <c r="AL101" s="5">
        <v>4</v>
      </c>
      <c r="AM101" s="5">
        <v>5</v>
      </c>
      <c r="AN101">
        <v>2.4</v>
      </c>
      <c r="AO101">
        <v>4</v>
      </c>
      <c r="AP101">
        <v>5.6</v>
      </c>
      <c r="AQ101">
        <v>0</v>
      </c>
      <c r="AR101" s="2" t="s">
        <v>66</v>
      </c>
      <c r="AS101" s="2" t="s">
        <v>65</v>
      </c>
      <c r="AT101">
        <f>IFERROR(ROUND(IF(Tableau_query__18[[#This Row],[Sous famille]]&lt;&gt;"",VLOOKUP(Tableau_query__18[[#This Row],[Sous famille]],'A013 TCD'!G:H,2,FALSE),VLOOKUP(Tableau_query__18[[#This Row],[Famille d''achat]],'A013 TCD'!D:E,2,FALSE))/1000,0),"")</f>
        <v>1459</v>
      </c>
    </row>
    <row r="102" spans="1:46" hidden="1" x14ac:dyDescent="0.25">
      <c r="A102" s="1">
        <v>107</v>
      </c>
      <c r="B102" s="2" t="s">
        <v>391</v>
      </c>
      <c r="C102" s="3"/>
      <c r="D102" s="2" t="s">
        <v>392</v>
      </c>
      <c r="E102" s="2" t="s">
        <v>241</v>
      </c>
      <c r="F102" s="2" t="s">
        <v>243</v>
      </c>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4"/>
      <c r="AJ102" s="2"/>
      <c r="AK102" s="2"/>
      <c r="AL102" s="5"/>
      <c r="AM102" s="5"/>
      <c r="AR102" s="2" t="s">
        <v>66</v>
      </c>
      <c r="AS102" s="2" t="s">
        <v>65</v>
      </c>
      <c r="AT102">
        <f>IFERROR(ROUND(IF(Tableau_query__18[[#This Row],[Sous famille]]&lt;&gt;"",VLOOKUP(Tableau_query__18[[#This Row],[Sous famille]],'A013 TCD'!G:H,2,FALSE),VLOOKUP(Tableau_query__18[[#This Row],[Famille d''achat]],'A013 TCD'!D:E,2,FALSE))/1000,0),"")</f>
        <v>1863</v>
      </c>
    </row>
    <row r="103" spans="1:46" hidden="1" x14ac:dyDescent="0.25">
      <c r="A103" s="1">
        <v>108</v>
      </c>
      <c r="B103" s="2" t="s">
        <v>393</v>
      </c>
      <c r="C103" s="3"/>
      <c r="D103" s="2" t="s">
        <v>394</v>
      </c>
      <c r="E103" s="2" t="s">
        <v>241</v>
      </c>
      <c r="F103" s="2" t="s">
        <v>243</v>
      </c>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4"/>
      <c r="AJ103" s="2"/>
      <c r="AK103" s="2"/>
      <c r="AL103" s="5"/>
      <c r="AM103" s="5"/>
      <c r="AR103" s="2" t="s">
        <v>66</v>
      </c>
      <c r="AS103" s="2" t="s">
        <v>65</v>
      </c>
      <c r="AT103">
        <f>IFERROR(ROUND(IF(Tableau_query__18[[#This Row],[Sous famille]]&lt;&gt;"",VLOOKUP(Tableau_query__18[[#This Row],[Sous famille]],'A013 TCD'!G:H,2,FALSE),VLOOKUP(Tableau_query__18[[#This Row],[Famille d''achat]],'A013 TCD'!D:E,2,FALSE))/1000,0),"")</f>
        <v>22739</v>
      </c>
    </row>
    <row r="104" spans="1:46" ht="60" hidden="1" x14ac:dyDescent="0.25">
      <c r="A104" s="1">
        <v>109</v>
      </c>
      <c r="B104" s="2" t="s">
        <v>395</v>
      </c>
      <c r="C104" s="3">
        <v>46014</v>
      </c>
      <c r="D104" s="2" t="s">
        <v>396</v>
      </c>
      <c r="E104" s="2" t="s">
        <v>241</v>
      </c>
      <c r="F104" s="2" t="s">
        <v>247</v>
      </c>
      <c r="G104" s="2"/>
      <c r="H104" s="2" t="s">
        <v>116</v>
      </c>
      <c r="I104" s="2" t="s">
        <v>70</v>
      </c>
      <c r="J104" s="2" t="s">
        <v>397</v>
      </c>
      <c r="K104" s="2" t="s">
        <v>72</v>
      </c>
      <c r="L104" s="2" t="s">
        <v>52</v>
      </c>
      <c r="M104" s="2" t="s">
        <v>154</v>
      </c>
      <c r="N104" s="2" t="s">
        <v>86</v>
      </c>
      <c r="O104" s="2" t="s">
        <v>55</v>
      </c>
      <c r="P104" s="2" t="s">
        <v>155</v>
      </c>
      <c r="Q104" s="2" t="s">
        <v>398</v>
      </c>
      <c r="R104" s="2" t="s">
        <v>111</v>
      </c>
      <c r="S104" s="2" t="s">
        <v>58</v>
      </c>
      <c r="T104" s="2" t="s">
        <v>58</v>
      </c>
      <c r="U104" s="2" t="s">
        <v>58</v>
      </c>
      <c r="V104" s="2" t="s">
        <v>59</v>
      </c>
      <c r="W104" s="2" t="s">
        <v>58</v>
      </c>
      <c r="X104" s="2" t="s">
        <v>58</v>
      </c>
      <c r="Y104" s="2" t="s">
        <v>58</v>
      </c>
      <c r="Z104" s="2" t="s">
        <v>58</v>
      </c>
      <c r="AA104" s="2" t="s">
        <v>58</v>
      </c>
      <c r="AB104" s="2" t="s">
        <v>58</v>
      </c>
      <c r="AC104" s="2" t="s">
        <v>58</v>
      </c>
      <c r="AD104" s="2" t="s">
        <v>58</v>
      </c>
      <c r="AE104" s="2" t="s">
        <v>58</v>
      </c>
      <c r="AF104" s="2" t="s">
        <v>58</v>
      </c>
      <c r="AG104" s="2" t="s">
        <v>58</v>
      </c>
      <c r="AH104" s="2" t="s">
        <v>62</v>
      </c>
      <c r="AI104" s="4" t="s">
        <v>399</v>
      </c>
      <c r="AJ104" s="2" t="s">
        <v>400</v>
      </c>
      <c r="AK104" s="2"/>
      <c r="AL104" s="5">
        <v>0</v>
      </c>
      <c r="AM104" s="5">
        <v>0.5</v>
      </c>
      <c r="AN104">
        <v>0</v>
      </c>
      <c r="AO104">
        <v>0</v>
      </c>
      <c r="AP104">
        <v>1.6</v>
      </c>
      <c r="AQ104">
        <v>0.8</v>
      </c>
      <c r="AR104" s="2" t="s">
        <v>66</v>
      </c>
      <c r="AS104" s="2" t="s">
        <v>65</v>
      </c>
      <c r="AT104">
        <f>IFERROR(ROUND(IF(Tableau_query__18[[#This Row],[Sous famille]]&lt;&gt;"",VLOOKUP(Tableau_query__18[[#This Row],[Sous famille]],'A013 TCD'!G:H,2,FALSE),VLOOKUP(Tableau_query__18[[#This Row],[Famille d''achat]],'A013 TCD'!D:E,2,FALSE))/1000,0),"")</f>
        <v>85</v>
      </c>
    </row>
    <row r="105" spans="1:46" hidden="1" x14ac:dyDescent="0.25">
      <c r="A105" s="1">
        <v>110</v>
      </c>
      <c r="B105" s="2" t="s">
        <v>401</v>
      </c>
      <c r="C105" s="3"/>
      <c r="D105" s="2" t="s">
        <v>402</v>
      </c>
      <c r="E105" s="2" t="s">
        <v>241</v>
      </c>
      <c r="F105" s="2" t="s">
        <v>250</v>
      </c>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4"/>
      <c r="AJ105" s="2"/>
      <c r="AK105" s="2"/>
      <c r="AL105" s="5"/>
      <c r="AM105" s="5"/>
      <c r="AR105" s="2" t="s">
        <v>66</v>
      </c>
      <c r="AS105" s="2" t="s">
        <v>65</v>
      </c>
      <c r="AT105">
        <f>IFERROR(ROUND(IF(Tableau_query__18[[#This Row],[Sous famille]]&lt;&gt;"",VLOOKUP(Tableau_query__18[[#This Row],[Sous famille]],'A013 TCD'!G:H,2,FALSE),VLOOKUP(Tableau_query__18[[#This Row],[Famille d''achat]],'A013 TCD'!D:E,2,FALSE))/1000,0),"")</f>
        <v>2308</v>
      </c>
    </row>
    <row r="106" spans="1:46" ht="30" hidden="1" x14ac:dyDescent="0.25">
      <c r="A106" s="1">
        <v>111</v>
      </c>
      <c r="B106" s="2" t="s">
        <v>403</v>
      </c>
      <c r="C106" s="3"/>
      <c r="D106" s="2" t="s">
        <v>404</v>
      </c>
      <c r="E106" s="2" t="s">
        <v>241</v>
      </c>
      <c r="F106" s="2" t="s">
        <v>259</v>
      </c>
      <c r="G106" s="2"/>
      <c r="H106" s="2" t="s">
        <v>116</v>
      </c>
      <c r="I106" s="2" t="s">
        <v>77</v>
      </c>
      <c r="J106" s="2" t="s">
        <v>397</v>
      </c>
      <c r="K106" s="2"/>
      <c r="L106" s="2" t="s">
        <v>52</v>
      </c>
      <c r="M106" s="2" t="s">
        <v>154</v>
      </c>
      <c r="N106" s="2" t="s">
        <v>86</v>
      </c>
      <c r="O106" s="2" t="s">
        <v>132</v>
      </c>
      <c r="P106" s="2" t="s">
        <v>155</v>
      </c>
      <c r="Q106" s="2" t="s">
        <v>398</v>
      </c>
      <c r="R106" s="2"/>
      <c r="S106" s="2"/>
      <c r="T106" s="2" t="s">
        <v>58</v>
      </c>
      <c r="U106" s="2" t="s">
        <v>58</v>
      </c>
      <c r="V106" s="2" t="s">
        <v>58</v>
      </c>
      <c r="W106" s="2"/>
      <c r="X106" s="2" t="s">
        <v>58</v>
      </c>
      <c r="Y106" s="2" t="s">
        <v>58</v>
      </c>
      <c r="Z106" s="2" t="s">
        <v>59</v>
      </c>
      <c r="AA106" s="2"/>
      <c r="AB106" s="2"/>
      <c r="AC106" s="2" t="s">
        <v>58</v>
      </c>
      <c r="AD106" s="2" t="s">
        <v>59</v>
      </c>
      <c r="AE106" s="2" t="s">
        <v>58</v>
      </c>
      <c r="AF106" s="2"/>
      <c r="AG106" s="2" t="s">
        <v>58</v>
      </c>
      <c r="AH106" s="2" t="s">
        <v>105</v>
      </c>
      <c r="AI106" s="4" t="s">
        <v>405</v>
      </c>
      <c r="AJ106" s="2"/>
      <c r="AK106" s="2"/>
      <c r="AL106" s="5">
        <v>1</v>
      </c>
      <c r="AM106" s="5">
        <v>0</v>
      </c>
      <c r="AN106">
        <v>0</v>
      </c>
      <c r="AO106">
        <v>0</v>
      </c>
      <c r="AP106">
        <v>0</v>
      </c>
      <c r="AQ106">
        <v>0</v>
      </c>
      <c r="AR106" s="2" t="s">
        <v>66</v>
      </c>
      <c r="AS106" s="2" t="s">
        <v>65</v>
      </c>
      <c r="AT106">
        <f>IFERROR(ROUND(IF(Tableau_query__18[[#This Row],[Sous famille]]&lt;&gt;"",VLOOKUP(Tableau_query__18[[#This Row],[Sous famille]],'A013 TCD'!G:H,2,FALSE),VLOOKUP(Tableau_query__18[[#This Row],[Famille d''achat]],'A013 TCD'!D:E,2,FALSE))/1000,0),"")</f>
        <v>16</v>
      </c>
    </row>
    <row r="107" spans="1:46" ht="60" hidden="1" x14ac:dyDescent="0.25">
      <c r="A107" s="1">
        <v>112</v>
      </c>
      <c r="B107" s="2" t="s">
        <v>406</v>
      </c>
      <c r="C107" s="3">
        <v>45959</v>
      </c>
      <c r="D107" s="2" t="s">
        <v>407</v>
      </c>
      <c r="E107" s="2" t="s">
        <v>241</v>
      </c>
      <c r="F107" s="2" t="s">
        <v>259</v>
      </c>
      <c r="G107" s="2"/>
      <c r="H107" s="2" t="s">
        <v>116</v>
      </c>
      <c r="I107" s="2" t="s">
        <v>77</v>
      </c>
      <c r="J107" s="2" t="s">
        <v>153</v>
      </c>
      <c r="K107" s="2"/>
      <c r="L107" s="2" t="s">
        <v>93</v>
      </c>
      <c r="M107" s="2" t="s">
        <v>154</v>
      </c>
      <c r="N107" s="2" t="s">
        <v>86</v>
      </c>
      <c r="O107" s="2" t="s">
        <v>132</v>
      </c>
      <c r="P107" s="2" t="s">
        <v>255</v>
      </c>
      <c r="Q107" s="2" t="s">
        <v>97</v>
      </c>
      <c r="R107" s="2"/>
      <c r="S107" s="2"/>
      <c r="T107" s="2" t="s">
        <v>61</v>
      </c>
      <c r="U107" s="2" t="s">
        <v>60</v>
      </c>
      <c r="V107" s="2" t="s">
        <v>59</v>
      </c>
      <c r="W107" s="2"/>
      <c r="X107" s="2" t="s">
        <v>60</v>
      </c>
      <c r="Y107" s="2" t="s">
        <v>59</v>
      </c>
      <c r="Z107" s="2" t="s">
        <v>61</v>
      </c>
      <c r="AA107" s="2"/>
      <c r="AB107" s="2"/>
      <c r="AC107" s="2" t="s">
        <v>60</v>
      </c>
      <c r="AD107" s="2" t="s">
        <v>60</v>
      </c>
      <c r="AE107" s="2" t="s">
        <v>61</v>
      </c>
      <c r="AF107" s="2"/>
      <c r="AG107" s="2" t="s">
        <v>59</v>
      </c>
      <c r="AH107" s="2" t="s">
        <v>62</v>
      </c>
      <c r="AI107" s="4" t="s">
        <v>408</v>
      </c>
      <c r="AJ107" s="2" t="s">
        <v>385</v>
      </c>
      <c r="AK107" s="2" t="s">
        <v>299</v>
      </c>
      <c r="AL107" s="5">
        <v>5.5</v>
      </c>
      <c r="AM107" s="5">
        <v>0</v>
      </c>
      <c r="AN107">
        <v>0</v>
      </c>
      <c r="AO107">
        <v>0</v>
      </c>
      <c r="AP107">
        <v>0</v>
      </c>
      <c r="AQ107">
        <v>0</v>
      </c>
      <c r="AR107" s="2" t="s">
        <v>66</v>
      </c>
      <c r="AS107" s="2" t="s">
        <v>65</v>
      </c>
      <c r="AT107">
        <f>IFERROR(ROUND(IF(Tableau_query__18[[#This Row],[Sous famille]]&lt;&gt;"",VLOOKUP(Tableau_query__18[[#This Row],[Sous famille]],'A013 TCD'!G:H,2,FALSE),VLOOKUP(Tableau_query__18[[#This Row],[Famille d''achat]],'A013 TCD'!D:E,2,FALSE))/1000,0),"")</f>
        <v>1092</v>
      </c>
    </row>
    <row r="108" spans="1:46" ht="45" hidden="1" x14ac:dyDescent="0.25">
      <c r="A108" s="1">
        <v>114</v>
      </c>
      <c r="B108" s="2" t="s">
        <v>409</v>
      </c>
      <c r="C108" s="3">
        <v>46001</v>
      </c>
      <c r="D108" s="2" t="s">
        <v>410</v>
      </c>
      <c r="E108" s="2" t="s">
        <v>241</v>
      </c>
      <c r="F108" s="2" t="s">
        <v>247</v>
      </c>
      <c r="G108" s="2"/>
      <c r="H108" s="2" t="s">
        <v>116</v>
      </c>
      <c r="I108" s="2" t="s">
        <v>70</v>
      </c>
      <c r="J108" s="2" t="s">
        <v>397</v>
      </c>
      <c r="K108" s="2" t="s">
        <v>72</v>
      </c>
      <c r="L108" s="2" t="s">
        <v>280</v>
      </c>
      <c r="M108" s="2" t="s">
        <v>94</v>
      </c>
      <c r="N108" s="2" t="s">
        <v>54</v>
      </c>
      <c r="O108" s="2" t="s">
        <v>55</v>
      </c>
      <c r="P108" s="2" t="s">
        <v>155</v>
      </c>
      <c r="Q108" s="2" t="s">
        <v>97</v>
      </c>
      <c r="R108" s="2" t="s">
        <v>111</v>
      </c>
      <c r="S108" s="2" t="s">
        <v>58</v>
      </c>
      <c r="T108" s="2" t="s">
        <v>58</v>
      </c>
      <c r="U108" s="2" t="s">
        <v>58</v>
      </c>
      <c r="V108" s="2" t="s">
        <v>58</v>
      </c>
      <c r="W108" s="2" t="s">
        <v>60</v>
      </c>
      <c r="X108" s="2" t="s">
        <v>58</v>
      </c>
      <c r="Y108" s="2" t="s">
        <v>59</v>
      </c>
      <c r="Z108" s="2" t="s">
        <v>58</v>
      </c>
      <c r="AA108" s="2" t="s">
        <v>59</v>
      </c>
      <c r="AB108" s="2" t="s">
        <v>61</v>
      </c>
      <c r="AC108" s="2" t="s">
        <v>58</v>
      </c>
      <c r="AD108" s="2" t="s">
        <v>61</v>
      </c>
      <c r="AE108" s="2" t="s">
        <v>58</v>
      </c>
      <c r="AF108" s="2" t="s">
        <v>60</v>
      </c>
      <c r="AG108" s="2" t="s">
        <v>58</v>
      </c>
      <c r="AH108" s="2" t="s">
        <v>62</v>
      </c>
      <c r="AI108" s="4" t="s">
        <v>411</v>
      </c>
      <c r="AJ108" s="2" t="s">
        <v>412</v>
      </c>
      <c r="AK108" s="2" t="s">
        <v>354</v>
      </c>
      <c r="AL108" s="5">
        <v>1</v>
      </c>
      <c r="AM108" s="5">
        <v>0.5</v>
      </c>
      <c r="AN108">
        <v>0</v>
      </c>
      <c r="AO108">
        <v>0</v>
      </c>
      <c r="AP108">
        <v>0</v>
      </c>
      <c r="AQ108">
        <v>0</v>
      </c>
      <c r="AR108" s="2" t="s">
        <v>66</v>
      </c>
      <c r="AS108" s="2" t="s">
        <v>65</v>
      </c>
      <c r="AT108">
        <f>IFERROR(ROUND(IF(Tableau_query__18[[#This Row],[Sous famille]]&lt;&gt;"",VLOOKUP(Tableau_query__18[[#This Row],[Sous famille]],'A013 TCD'!G:H,2,FALSE),VLOOKUP(Tableau_query__18[[#This Row],[Famille d''achat]],'A013 TCD'!D:E,2,FALSE))/1000,0),"")</f>
        <v>1081</v>
      </c>
    </row>
    <row r="109" spans="1:46" ht="120" hidden="1" x14ac:dyDescent="0.25">
      <c r="A109" s="1">
        <v>115</v>
      </c>
      <c r="B109" s="2" t="s">
        <v>413</v>
      </c>
      <c r="C109" s="3">
        <v>45987</v>
      </c>
      <c r="D109" s="2" t="s">
        <v>414</v>
      </c>
      <c r="E109" s="2" t="s">
        <v>241</v>
      </c>
      <c r="F109" s="2" t="s">
        <v>247</v>
      </c>
      <c r="G109" s="2"/>
      <c r="H109" s="2" t="s">
        <v>116</v>
      </c>
      <c r="I109" s="2" t="s">
        <v>70</v>
      </c>
      <c r="J109" s="2" t="s">
        <v>397</v>
      </c>
      <c r="K109" s="2" t="s">
        <v>72</v>
      </c>
      <c r="L109" s="2" t="s">
        <v>52</v>
      </c>
      <c r="M109" s="2" t="s">
        <v>94</v>
      </c>
      <c r="N109" s="2" t="s">
        <v>86</v>
      </c>
      <c r="O109" s="2" t="s">
        <v>96</v>
      </c>
      <c r="P109" s="2" t="s">
        <v>155</v>
      </c>
      <c r="Q109" s="2" t="s">
        <v>97</v>
      </c>
      <c r="R109" s="2" t="s">
        <v>59</v>
      </c>
      <c r="S109" s="2" t="s">
        <v>58</v>
      </c>
      <c r="T109" s="2" t="s">
        <v>58</v>
      </c>
      <c r="U109" s="2" t="s">
        <v>58</v>
      </c>
      <c r="V109" s="2" t="s">
        <v>58</v>
      </c>
      <c r="W109" s="2" t="s">
        <v>58</v>
      </c>
      <c r="X109" s="2" t="s">
        <v>58</v>
      </c>
      <c r="Y109" s="2" t="s">
        <v>59</v>
      </c>
      <c r="Z109" s="2" t="s">
        <v>58</v>
      </c>
      <c r="AA109" s="2" t="s">
        <v>58</v>
      </c>
      <c r="AB109" s="2" t="s">
        <v>58</v>
      </c>
      <c r="AC109" s="2" t="s">
        <v>58</v>
      </c>
      <c r="AD109" s="2" t="s">
        <v>58</v>
      </c>
      <c r="AE109" s="2" t="s">
        <v>59</v>
      </c>
      <c r="AF109" s="2" t="s">
        <v>59</v>
      </c>
      <c r="AG109" s="2" t="s">
        <v>61</v>
      </c>
      <c r="AH109" s="2" t="s">
        <v>62</v>
      </c>
      <c r="AI109" s="4" t="s">
        <v>415</v>
      </c>
      <c r="AJ109" s="2"/>
      <c r="AK109" s="2" t="s">
        <v>416</v>
      </c>
      <c r="AL109" s="5">
        <v>1.5</v>
      </c>
      <c r="AM109" s="5">
        <v>0.5</v>
      </c>
      <c r="AN109">
        <v>0</v>
      </c>
      <c r="AO109">
        <v>3.2</v>
      </c>
      <c r="AP109">
        <v>0</v>
      </c>
      <c r="AQ109">
        <v>0.8</v>
      </c>
      <c r="AR109" s="2" t="s">
        <v>66</v>
      </c>
      <c r="AS109" s="2" t="s">
        <v>65</v>
      </c>
      <c r="AT109">
        <f>IFERROR(ROUND(IF(Tableau_query__18[[#This Row],[Sous famille]]&lt;&gt;"",VLOOKUP(Tableau_query__18[[#This Row],[Sous famille]],'A013 TCD'!G:H,2,FALSE),VLOOKUP(Tableau_query__18[[#This Row],[Famille d''achat]],'A013 TCD'!D:E,2,FALSE))/1000,0),"")</f>
        <v>198</v>
      </c>
    </row>
    <row r="110" spans="1:46" ht="90" hidden="1" x14ac:dyDescent="0.25">
      <c r="A110" s="1">
        <v>116</v>
      </c>
      <c r="B110" s="2" t="s">
        <v>292</v>
      </c>
      <c r="C110" s="3">
        <v>46113</v>
      </c>
      <c r="D110" s="2" t="s">
        <v>417</v>
      </c>
      <c r="E110" s="2" t="s">
        <v>241</v>
      </c>
      <c r="F110" s="2" t="s">
        <v>296</v>
      </c>
      <c r="G110" s="2" t="s">
        <v>418</v>
      </c>
      <c r="H110" s="2" t="s">
        <v>116</v>
      </c>
      <c r="I110" s="2" t="s">
        <v>70</v>
      </c>
      <c r="J110" s="2" t="s">
        <v>397</v>
      </c>
      <c r="K110" s="2"/>
      <c r="L110" s="2" t="s">
        <v>52</v>
      </c>
      <c r="M110" s="2" t="s">
        <v>139</v>
      </c>
      <c r="N110" s="2" t="s">
        <v>86</v>
      </c>
      <c r="O110" s="2" t="s">
        <v>132</v>
      </c>
      <c r="P110" s="2" t="s">
        <v>155</v>
      </c>
      <c r="Q110" s="2" t="s">
        <v>97</v>
      </c>
      <c r="R110" s="2"/>
      <c r="S110" s="2"/>
      <c r="T110" s="2" t="s">
        <v>58</v>
      </c>
      <c r="U110" s="2" t="s">
        <v>58</v>
      </c>
      <c r="V110" s="2" t="s">
        <v>58</v>
      </c>
      <c r="W110" s="2"/>
      <c r="X110" s="2" t="s">
        <v>58</v>
      </c>
      <c r="Y110" s="2" t="s">
        <v>59</v>
      </c>
      <c r="Z110" s="2" t="s">
        <v>58</v>
      </c>
      <c r="AA110" s="2"/>
      <c r="AB110" s="2"/>
      <c r="AC110" s="2" t="s">
        <v>59</v>
      </c>
      <c r="AD110" s="2" t="s">
        <v>58</v>
      </c>
      <c r="AE110" s="2" t="s">
        <v>58</v>
      </c>
      <c r="AF110" s="2"/>
      <c r="AG110" s="2" t="s">
        <v>58</v>
      </c>
      <c r="AH110" s="2" t="s">
        <v>87</v>
      </c>
      <c r="AI110" s="4" t="s">
        <v>419</v>
      </c>
      <c r="AJ110" s="2"/>
      <c r="AK110" s="2" t="s">
        <v>299</v>
      </c>
      <c r="AL110" s="5">
        <v>0</v>
      </c>
      <c r="AM110" s="5">
        <v>0</v>
      </c>
      <c r="AN110">
        <v>0</v>
      </c>
      <c r="AO110">
        <v>0</v>
      </c>
      <c r="AP110">
        <v>0</v>
      </c>
      <c r="AQ110">
        <v>0</v>
      </c>
      <c r="AR110" s="2" t="s">
        <v>66</v>
      </c>
      <c r="AS110" s="2" t="s">
        <v>65</v>
      </c>
      <c r="AT110">
        <f>IFERROR(ROUND(IF(Tableau_query__18[[#This Row],[Sous famille]]&lt;&gt;"",VLOOKUP(Tableau_query__18[[#This Row],[Sous famille]],'A013 TCD'!G:H,2,FALSE),VLOOKUP(Tableau_query__18[[#This Row],[Famille d''achat]],'A013 TCD'!D:E,2,FALSE))/1000,0),"")</f>
        <v>194</v>
      </c>
    </row>
    <row r="111" spans="1:46" hidden="1" x14ac:dyDescent="0.25">
      <c r="A111" s="1">
        <v>118</v>
      </c>
      <c r="B111" s="2" t="s">
        <v>420</v>
      </c>
      <c r="C111" s="3"/>
      <c r="D111" s="2" t="s">
        <v>421</v>
      </c>
      <c r="E111" s="2" t="s">
        <v>241</v>
      </c>
      <c r="F111" s="2" t="s">
        <v>243</v>
      </c>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4"/>
      <c r="AJ111" s="2"/>
      <c r="AK111" s="2"/>
      <c r="AL111" s="5"/>
      <c r="AM111" s="5"/>
      <c r="AR111" s="2" t="s">
        <v>66</v>
      </c>
      <c r="AS111" s="2" t="s">
        <v>65</v>
      </c>
      <c r="AT111">
        <f>IFERROR(ROUND(IF(Tableau_query__18[[#This Row],[Sous famille]]&lt;&gt;"",VLOOKUP(Tableau_query__18[[#This Row],[Sous famille]],'A013 TCD'!G:H,2,FALSE),VLOOKUP(Tableau_query__18[[#This Row],[Famille d''achat]],'A013 TCD'!D:E,2,FALSE))/1000,0),"")</f>
        <v>282</v>
      </c>
    </row>
    <row r="112" spans="1:46" hidden="1" x14ac:dyDescent="0.25">
      <c r="A112" s="1">
        <v>119</v>
      </c>
      <c r="B112" s="2" t="s">
        <v>422</v>
      </c>
      <c r="C112" s="3">
        <v>46112</v>
      </c>
      <c r="D112" s="2" t="s">
        <v>424</v>
      </c>
      <c r="E112" s="2" t="s">
        <v>423</v>
      </c>
      <c r="F112" s="2" t="s">
        <v>429</v>
      </c>
      <c r="G112" s="2" t="s">
        <v>425</v>
      </c>
      <c r="H112" s="2" t="s">
        <v>116</v>
      </c>
      <c r="I112" s="2" t="s">
        <v>70</v>
      </c>
      <c r="J112" s="2" t="s">
        <v>397</v>
      </c>
      <c r="K112" s="2" t="s">
        <v>72</v>
      </c>
      <c r="L112" s="2" t="s">
        <v>52</v>
      </c>
      <c r="M112" s="2" t="s">
        <v>94</v>
      </c>
      <c r="N112" s="2" t="s">
        <v>86</v>
      </c>
      <c r="O112" s="2" t="s">
        <v>55</v>
      </c>
      <c r="P112" s="2" t="s">
        <v>155</v>
      </c>
      <c r="Q112" s="2" t="s">
        <v>118</v>
      </c>
      <c r="R112" s="2" t="s">
        <v>61</v>
      </c>
      <c r="S112" s="2" t="s">
        <v>61</v>
      </c>
      <c r="T112" s="2" t="s">
        <v>59</v>
      </c>
      <c r="U112" s="2" t="s">
        <v>61</v>
      </c>
      <c r="V112" s="2" t="s">
        <v>59</v>
      </c>
      <c r="W112" s="2" t="s">
        <v>58</v>
      </c>
      <c r="X112" s="2" t="s">
        <v>61</v>
      </c>
      <c r="Y112" s="2" t="s">
        <v>59</v>
      </c>
      <c r="Z112" s="2" t="s">
        <v>58</v>
      </c>
      <c r="AA112" s="2" t="s">
        <v>58</v>
      </c>
      <c r="AB112" s="2" t="s">
        <v>58</v>
      </c>
      <c r="AC112" s="2" t="s">
        <v>58</v>
      </c>
      <c r="AD112" s="2" t="s">
        <v>59</v>
      </c>
      <c r="AE112" s="2" t="s">
        <v>59</v>
      </c>
      <c r="AF112" s="2" t="s">
        <v>58</v>
      </c>
      <c r="AG112" s="2" t="s">
        <v>58</v>
      </c>
      <c r="AH112" s="2" t="s">
        <v>270</v>
      </c>
      <c r="AI112" s="4" t="s">
        <v>426</v>
      </c>
      <c r="AJ112" s="2" t="s">
        <v>427</v>
      </c>
      <c r="AK112" s="2" t="s">
        <v>428</v>
      </c>
      <c r="AL112" s="5">
        <v>0</v>
      </c>
      <c r="AM112" s="5">
        <v>0</v>
      </c>
      <c r="AN112">
        <v>0</v>
      </c>
      <c r="AO112">
        <v>0</v>
      </c>
      <c r="AP112">
        <v>0</v>
      </c>
      <c r="AQ112">
        <v>0</v>
      </c>
      <c r="AR112" s="2" t="s">
        <v>66</v>
      </c>
      <c r="AS112" s="2" t="s">
        <v>65</v>
      </c>
      <c r="AT112">
        <f>IFERROR(ROUND(IF(Tableau_query__18[[#This Row],[Sous famille]]&lt;&gt;"",VLOOKUP(Tableau_query__18[[#This Row],[Sous famille]],'A013 TCD'!G:H,2,FALSE),VLOOKUP(Tableau_query__18[[#This Row],[Famille d''achat]],'A013 TCD'!D:E,2,FALSE))/1000,0),"")</f>
        <v>223</v>
      </c>
    </row>
    <row r="113" spans="1:46" ht="105" x14ac:dyDescent="0.25">
      <c r="A113" s="1">
        <v>120</v>
      </c>
      <c r="B113" s="2" t="s">
        <v>430</v>
      </c>
      <c r="C113" s="3">
        <v>45797</v>
      </c>
      <c r="D113" s="2" t="s">
        <v>431</v>
      </c>
      <c r="E113" s="2" t="s">
        <v>423</v>
      </c>
      <c r="F113" s="2" t="s">
        <v>435</v>
      </c>
      <c r="G113" s="2"/>
      <c r="H113" s="2" t="s">
        <v>253</v>
      </c>
      <c r="I113" s="2" t="s">
        <v>77</v>
      </c>
      <c r="J113" s="2" t="s">
        <v>397</v>
      </c>
      <c r="K113" s="2" t="s">
        <v>51</v>
      </c>
      <c r="L113" s="2" t="s">
        <v>52</v>
      </c>
      <c r="M113" s="2" t="s">
        <v>254</v>
      </c>
      <c r="N113" s="2" t="s">
        <v>86</v>
      </c>
      <c r="O113" s="2" t="s">
        <v>55</v>
      </c>
      <c r="P113" s="2" t="s">
        <v>255</v>
      </c>
      <c r="Q113" s="2" t="s">
        <v>57</v>
      </c>
      <c r="R113" s="2" t="s">
        <v>59</v>
      </c>
      <c r="S113" s="2" t="s">
        <v>58</v>
      </c>
      <c r="T113" s="2" t="s">
        <v>59</v>
      </c>
      <c r="U113" s="2" t="s">
        <v>59</v>
      </c>
      <c r="V113" s="2" t="s">
        <v>59</v>
      </c>
      <c r="W113" s="2" t="s">
        <v>58</v>
      </c>
      <c r="X113" s="2" t="s">
        <v>59</v>
      </c>
      <c r="Y113" s="2" t="s">
        <v>59</v>
      </c>
      <c r="Z113" s="2" t="s">
        <v>59</v>
      </c>
      <c r="AA113" s="2" t="s">
        <v>61</v>
      </c>
      <c r="AB113" s="2" t="s">
        <v>58</v>
      </c>
      <c r="AC113" s="2" t="s">
        <v>60</v>
      </c>
      <c r="AD113" s="2" t="s">
        <v>59</v>
      </c>
      <c r="AE113" s="2" t="s">
        <v>60</v>
      </c>
      <c r="AF113" s="2" t="s">
        <v>60</v>
      </c>
      <c r="AG113" s="2" t="s">
        <v>60</v>
      </c>
      <c r="AH113" s="2" t="s">
        <v>98</v>
      </c>
      <c r="AI113" s="4" t="s">
        <v>432</v>
      </c>
      <c r="AJ113" s="2" t="s">
        <v>433</v>
      </c>
      <c r="AK113" s="2"/>
      <c r="AL113" s="5">
        <v>8</v>
      </c>
      <c r="AM113" s="5">
        <v>3</v>
      </c>
      <c r="AN113">
        <v>4</v>
      </c>
      <c r="AO113">
        <v>8</v>
      </c>
      <c r="AP113">
        <v>4</v>
      </c>
      <c r="AQ113">
        <v>3.2</v>
      </c>
      <c r="AR113" s="2" t="s">
        <v>66</v>
      </c>
      <c r="AS113" s="2" t="s">
        <v>65</v>
      </c>
      <c r="AT113">
        <f>IFERROR(ROUND(IF(Tableau_query__18[[#This Row],[Sous famille]]&lt;&gt;"",VLOOKUP(Tableau_query__18[[#This Row],[Sous famille]],'A013 TCD'!G:H,2,FALSE),VLOOKUP(Tableau_query__18[[#This Row],[Famille d''achat]],'A013 TCD'!D:E,2,FALSE))/1000,0),"")</f>
        <v>5135</v>
      </c>
    </row>
    <row r="114" spans="1:46" ht="45" hidden="1" x14ac:dyDescent="0.25">
      <c r="A114" s="1">
        <v>121</v>
      </c>
      <c r="B114" s="2" t="s">
        <v>436</v>
      </c>
      <c r="C114" s="3">
        <v>45918</v>
      </c>
      <c r="D114" s="2" t="s">
        <v>437</v>
      </c>
      <c r="E114" s="2" t="s">
        <v>423</v>
      </c>
      <c r="F114" s="2" t="s">
        <v>440</v>
      </c>
      <c r="G114" s="2"/>
      <c r="H114" s="2" t="s">
        <v>69</v>
      </c>
      <c r="I114" s="2" t="s">
        <v>77</v>
      </c>
      <c r="J114" s="2" t="s">
        <v>71</v>
      </c>
      <c r="K114" s="2" t="s">
        <v>72</v>
      </c>
      <c r="L114" s="2" t="s">
        <v>52</v>
      </c>
      <c r="M114" s="2" t="s">
        <v>53</v>
      </c>
      <c r="N114" s="2" t="s">
        <v>86</v>
      </c>
      <c r="O114" s="2" t="s">
        <v>132</v>
      </c>
      <c r="P114" s="2" t="s">
        <v>255</v>
      </c>
      <c r="Q114" s="2" t="s">
        <v>57</v>
      </c>
      <c r="R114" s="2" t="s">
        <v>59</v>
      </c>
      <c r="S114" s="2" t="s">
        <v>58</v>
      </c>
      <c r="T114" s="2" t="s">
        <v>59</v>
      </c>
      <c r="U114" s="2" t="s">
        <v>58</v>
      </c>
      <c r="V114" s="2" t="s">
        <v>61</v>
      </c>
      <c r="W114" s="2" t="s">
        <v>59</v>
      </c>
      <c r="X114" s="2" t="s">
        <v>59</v>
      </c>
      <c r="Y114" s="2" t="s">
        <v>59</v>
      </c>
      <c r="Z114" s="2" t="s">
        <v>58</v>
      </c>
      <c r="AA114" s="2" t="s">
        <v>59</v>
      </c>
      <c r="AB114" s="2"/>
      <c r="AC114" s="2" t="s">
        <v>59</v>
      </c>
      <c r="AD114" s="2" t="s">
        <v>59</v>
      </c>
      <c r="AE114" s="2" t="s">
        <v>59</v>
      </c>
      <c r="AF114" s="2" t="s">
        <v>60</v>
      </c>
      <c r="AG114" s="2" t="s">
        <v>59</v>
      </c>
      <c r="AH114" s="2" t="s">
        <v>98</v>
      </c>
      <c r="AI114" s="4" t="s">
        <v>438</v>
      </c>
      <c r="AJ114" s="2" t="s">
        <v>439</v>
      </c>
      <c r="AK114" s="2" t="s">
        <v>108</v>
      </c>
      <c r="AL114" s="5">
        <v>0</v>
      </c>
      <c r="AM114" s="5">
        <v>0</v>
      </c>
      <c r="AN114">
        <v>3.2</v>
      </c>
      <c r="AO114">
        <v>10.4</v>
      </c>
      <c r="AP114">
        <v>2.4</v>
      </c>
      <c r="AQ114">
        <v>3.2</v>
      </c>
      <c r="AR114" s="2" t="s">
        <v>66</v>
      </c>
      <c r="AS114" s="2" t="s">
        <v>65</v>
      </c>
      <c r="AT114">
        <f>IFERROR(ROUND(IF(Tableau_query__18[[#This Row],[Sous famille]]&lt;&gt;"",VLOOKUP(Tableau_query__18[[#This Row],[Sous famille]],'A013 TCD'!G:H,2,FALSE),VLOOKUP(Tableau_query__18[[#This Row],[Famille d''achat]],'A013 TCD'!D:E,2,FALSE))/1000,0),"")</f>
        <v>2236</v>
      </c>
    </row>
    <row r="115" spans="1:46" ht="30" hidden="1" x14ac:dyDescent="0.25">
      <c r="A115" s="1">
        <v>122</v>
      </c>
      <c r="B115" s="2" t="s">
        <v>441</v>
      </c>
      <c r="C115" s="3">
        <v>46112</v>
      </c>
      <c r="D115" s="2" t="s">
        <v>442</v>
      </c>
      <c r="E115" s="2" t="s">
        <v>423</v>
      </c>
      <c r="F115" s="2" t="s">
        <v>429</v>
      </c>
      <c r="G115" s="2" t="s">
        <v>443</v>
      </c>
      <c r="H115" s="2" t="s">
        <v>116</v>
      </c>
      <c r="I115" s="2" t="s">
        <v>70</v>
      </c>
      <c r="J115" s="2" t="s">
        <v>397</v>
      </c>
      <c r="K115" s="2" t="s">
        <v>72</v>
      </c>
      <c r="L115" s="2" t="s">
        <v>52</v>
      </c>
      <c r="M115" s="2" t="s">
        <v>154</v>
      </c>
      <c r="N115" s="2" t="s">
        <v>54</v>
      </c>
      <c r="O115" s="2" t="s">
        <v>132</v>
      </c>
      <c r="P115" s="2" t="s">
        <v>155</v>
      </c>
      <c r="Q115" s="2" t="s">
        <v>97</v>
      </c>
      <c r="R115" s="2" t="s">
        <v>59</v>
      </c>
      <c r="S115" s="2" t="s">
        <v>59</v>
      </c>
      <c r="T115" s="2" t="s">
        <v>61</v>
      </c>
      <c r="U115" s="2" t="s">
        <v>59</v>
      </c>
      <c r="V115" s="2" t="s">
        <v>59</v>
      </c>
      <c r="W115" s="2" t="s">
        <v>59</v>
      </c>
      <c r="X115" s="2" t="s">
        <v>61</v>
      </c>
      <c r="Y115" s="2" t="s">
        <v>59</v>
      </c>
      <c r="Z115" s="2" t="s">
        <v>61</v>
      </c>
      <c r="AA115" s="2" t="s">
        <v>59</v>
      </c>
      <c r="AB115" s="2" t="s">
        <v>59</v>
      </c>
      <c r="AC115" s="2" t="s">
        <v>61</v>
      </c>
      <c r="AD115" s="2" t="s">
        <v>61</v>
      </c>
      <c r="AE115" s="2" t="s">
        <v>61</v>
      </c>
      <c r="AF115" s="2" t="s">
        <v>59</v>
      </c>
      <c r="AG115" s="2" t="s">
        <v>61</v>
      </c>
      <c r="AH115" s="2" t="s">
        <v>87</v>
      </c>
      <c r="AI115" s="4" t="s">
        <v>444</v>
      </c>
      <c r="AJ115" s="2" t="s">
        <v>427</v>
      </c>
      <c r="AK115" s="2" t="s">
        <v>299</v>
      </c>
      <c r="AL115" s="5">
        <v>0</v>
      </c>
      <c r="AM115" s="5">
        <v>3.5</v>
      </c>
      <c r="AO115">
        <v>0</v>
      </c>
      <c r="AP115">
        <v>0</v>
      </c>
      <c r="AQ115">
        <v>0</v>
      </c>
      <c r="AR115" s="2" t="s">
        <v>66</v>
      </c>
      <c r="AS115" s="2" t="s">
        <v>65</v>
      </c>
      <c r="AT115">
        <f>IFERROR(ROUND(IF(Tableau_query__18[[#This Row],[Sous famille]]&lt;&gt;"",VLOOKUP(Tableau_query__18[[#This Row],[Sous famille]],'A013 TCD'!G:H,2,FALSE),VLOOKUP(Tableau_query__18[[#This Row],[Famille d''achat]],'A013 TCD'!D:E,2,FALSE))/1000,0),"")</f>
        <v>438</v>
      </c>
    </row>
    <row r="116" spans="1:46" x14ac:dyDescent="0.25">
      <c r="A116" s="1">
        <v>123</v>
      </c>
      <c r="B116" s="2" t="s">
        <v>445</v>
      </c>
      <c r="C116" s="3">
        <v>45916</v>
      </c>
      <c r="D116" s="2" t="s">
        <v>446</v>
      </c>
      <c r="E116" s="2" t="s">
        <v>423</v>
      </c>
      <c r="F116" s="2" t="s">
        <v>435</v>
      </c>
      <c r="G116" s="2"/>
      <c r="H116" s="2" t="s">
        <v>116</v>
      </c>
      <c r="I116" s="2" t="s">
        <v>70</v>
      </c>
      <c r="J116" s="2" t="s">
        <v>153</v>
      </c>
      <c r="K116" s="2" t="s">
        <v>51</v>
      </c>
      <c r="L116" s="2" t="s">
        <v>52</v>
      </c>
      <c r="M116" s="2" t="s">
        <v>254</v>
      </c>
      <c r="N116" s="2" t="s">
        <v>86</v>
      </c>
      <c r="O116" s="2" t="s">
        <v>55</v>
      </c>
      <c r="P116" s="2" t="s">
        <v>255</v>
      </c>
      <c r="Q116" s="2" t="s">
        <v>57</v>
      </c>
      <c r="R116" s="2" t="s">
        <v>58</v>
      </c>
      <c r="S116" s="2" t="s">
        <v>58</v>
      </c>
      <c r="T116" s="2" t="s">
        <v>59</v>
      </c>
      <c r="U116" s="2" t="s">
        <v>58</v>
      </c>
      <c r="V116" s="2" t="s">
        <v>59</v>
      </c>
      <c r="W116" s="2" t="s">
        <v>58</v>
      </c>
      <c r="X116" s="2" t="s">
        <v>59</v>
      </c>
      <c r="Y116" s="2" t="s">
        <v>59</v>
      </c>
      <c r="Z116" s="2" t="s">
        <v>59</v>
      </c>
      <c r="AA116" s="2" t="s">
        <v>59</v>
      </c>
      <c r="AB116" s="2" t="s">
        <v>59</v>
      </c>
      <c r="AC116" s="2" t="s">
        <v>59</v>
      </c>
      <c r="AD116" s="2" t="s">
        <v>59</v>
      </c>
      <c r="AE116" s="2" t="s">
        <v>61</v>
      </c>
      <c r="AF116" s="2" t="s">
        <v>60</v>
      </c>
      <c r="AG116" s="2" t="s">
        <v>59</v>
      </c>
      <c r="AH116" s="2" t="s">
        <v>98</v>
      </c>
      <c r="AI116" s="4" t="s">
        <v>447</v>
      </c>
      <c r="AJ116" s="2" t="s">
        <v>427</v>
      </c>
      <c r="AK116" s="2" t="s">
        <v>434</v>
      </c>
      <c r="AL116" s="5">
        <v>3.5</v>
      </c>
      <c r="AM116" s="5">
        <v>4</v>
      </c>
      <c r="AN116">
        <v>4.8</v>
      </c>
      <c r="AO116">
        <v>8</v>
      </c>
      <c r="AP116">
        <v>6.4</v>
      </c>
      <c r="AQ116">
        <v>3.2</v>
      </c>
      <c r="AR116" s="2" t="s">
        <v>66</v>
      </c>
      <c r="AS116" s="2" t="s">
        <v>65</v>
      </c>
      <c r="AT116">
        <f>IFERROR(ROUND(IF(Tableau_query__18[[#This Row],[Sous famille]]&lt;&gt;"",VLOOKUP(Tableau_query__18[[#This Row],[Sous famille]],'A013 TCD'!G:H,2,FALSE),VLOOKUP(Tableau_query__18[[#This Row],[Famille d''achat]],'A013 TCD'!D:E,2,FALSE))/1000,0),"")</f>
        <v>3050</v>
      </c>
    </row>
    <row r="117" spans="1:46" ht="30" hidden="1" x14ac:dyDescent="0.25">
      <c r="A117" s="1">
        <v>124</v>
      </c>
      <c r="B117" s="2" t="s">
        <v>448</v>
      </c>
      <c r="C117" s="3">
        <v>45918</v>
      </c>
      <c r="D117" s="2" t="s">
        <v>449</v>
      </c>
      <c r="E117" s="2" t="s">
        <v>423</v>
      </c>
      <c r="F117" s="2" t="s">
        <v>440</v>
      </c>
      <c r="G117" s="2"/>
      <c r="H117" s="2" t="s">
        <v>69</v>
      </c>
      <c r="I117" s="2" t="s">
        <v>77</v>
      </c>
      <c r="J117" s="2" t="s">
        <v>153</v>
      </c>
      <c r="K117" s="2" t="s">
        <v>72</v>
      </c>
      <c r="L117" s="2" t="s">
        <v>52</v>
      </c>
      <c r="M117" s="2" t="s">
        <v>53</v>
      </c>
      <c r="N117" s="2" t="s">
        <v>86</v>
      </c>
      <c r="O117" s="2" t="s">
        <v>96</v>
      </c>
      <c r="P117" s="2" t="s">
        <v>255</v>
      </c>
      <c r="Q117" s="2" t="s">
        <v>57</v>
      </c>
      <c r="R117" s="2" t="s">
        <v>58</v>
      </c>
      <c r="S117" s="2" t="s">
        <v>58</v>
      </c>
      <c r="T117" s="2" t="s">
        <v>59</v>
      </c>
      <c r="U117" s="2" t="s">
        <v>59</v>
      </c>
      <c r="V117" s="2" t="s">
        <v>61</v>
      </c>
      <c r="W117" s="2" t="s">
        <v>58</v>
      </c>
      <c r="X117" s="2" t="s">
        <v>59</v>
      </c>
      <c r="Y117" s="2" t="s">
        <v>59</v>
      </c>
      <c r="Z117" s="2" t="s">
        <v>58</v>
      </c>
      <c r="AA117" s="2" t="s">
        <v>59</v>
      </c>
      <c r="AB117" s="2" t="s">
        <v>59</v>
      </c>
      <c r="AC117" s="2" t="s">
        <v>59</v>
      </c>
      <c r="AD117" s="2" t="s">
        <v>59</v>
      </c>
      <c r="AE117" s="2" t="s">
        <v>59</v>
      </c>
      <c r="AF117" s="2" t="s">
        <v>58</v>
      </c>
      <c r="AG117" s="2" t="s">
        <v>59</v>
      </c>
      <c r="AH117" s="2" t="s">
        <v>98</v>
      </c>
      <c r="AI117" s="4" t="s">
        <v>450</v>
      </c>
      <c r="AJ117" s="2" t="s">
        <v>451</v>
      </c>
      <c r="AK117" s="2" t="s">
        <v>434</v>
      </c>
      <c r="AL117" s="5"/>
      <c r="AM117" s="5"/>
      <c r="AR117" s="2" t="s">
        <v>66</v>
      </c>
      <c r="AS117" s="2" t="s">
        <v>65</v>
      </c>
      <c r="AT117">
        <f>IFERROR(ROUND(IF(Tableau_query__18[[#This Row],[Sous famille]]&lt;&gt;"",VLOOKUP(Tableau_query__18[[#This Row],[Sous famille]],'A013 TCD'!G:H,2,FALSE),VLOOKUP(Tableau_query__18[[#This Row],[Famille d''achat]],'A013 TCD'!D:E,2,FALSE))/1000,0),"")</f>
        <v>3672</v>
      </c>
    </row>
    <row r="118" spans="1:46" ht="45" hidden="1" x14ac:dyDescent="0.25">
      <c r="A118" s="1">
        <v>125</v>
      </c>
      <c r="B118" s="2" t="s">
        <v>452</v>
      </c>
      <c r="C118" s="3">
        <v>46112</v>
      </c>
      <c r="D118" s="2" t="s">
        <v>453</v>
      </c>
      <c r="E118" s="2" t="s">
        <v>423</v>
      </c>
      <c r="F118" s="2" t="s">
        <v>429</v>
      </c>
      <c r="G118" s="2" t="s">
        <v>454</v>
      </c>
      <c r="H118" s="2" t="s">
        <v>102</v>
      </c>
      <c r="I118" s="2" t="s">
        <v>49</v>
      </c>
      <c r="J118" s="2" t="s">
        <v>397</v>
      </c>
      <c r="K118" s="2" t="s">
        <v>104</v>
      </c>
      <c r="L118" s="2"/>
      <c r="M118" s="2" t="s">
        <v>94</v>
      </c>
      <c r="N118" s="2" t="s">
        <v>86</v>
      </c>
      <c r="O118" s="2" t="s">
        <v>55</v>
      </c>
      <c r="P118" s="2" t="s">
        <v>155</v>
      </c>
      <c r="Q118" s="2" t="s">
        <v>133</v>
      </c>
      <c r="R118" s="2" t="s">
        <v>58</v>
      </c>
      <c r="S118" s="2" t="s">
        <v>58</v>
      </c>
      <c r="T118" s="2" t="s">
        <v>58</v>
      </c>
      <c r="U118" s="2" t="s">
        <v>61</v>
      </c>
      <c r="V118" s="2" t="s">
        <v>58</v>
      </c>
      <c r="W118" s="2" t="s">
        <v>58</v>
      </c>
      <c r="X118" s="2" t="s">
        <v>59</v>
      </c>
      <c r="Y118" s="2" t="s">
        <v>61</v>
      </c>
      <c r="Z118" s="2" t="s">
        <v>61</v>
      </c>
      <c r="AA118" s="2" t="s">
        <v>61</v>
      </c>
      <c r="AB118" s="2" t="s">
        <v>61</v>
      </c>
      <c r="AC118" s="2" t="s">
        <v>61</v>
      </c>
      <c r="AD118" s="2" t="s">
        <v>59</v>
      </c>
      <c r="AE118" s="2" t="s">
        <v>59</v>
      </c>
      <c r="AF118" s="2" t="s">
        <v>58</v>
      </c>
      <c r="AG118" s="2" t="s">
        <v>60</v>
      </c>
      <c r="AH118" s="2" t="s">
        <v>270</v>
      </c>
      <c r="AI118" s="4" t="s">
        <v>455</v>
      </c>
      <c r="AJ118" s="2" t="s">
        <v>456</v>
      </c>
      <c r="AK118" s="2" t="s">
        <v>428</v>
      </c>
      <c r="AL118" s="5"/>
      <c r="AM118" s="5"/>
      <c r="AR118" s="2" t="s">
        <v>66</v>
      </c>
      <c r="AS118" s="2" t="s">
        <v>65</v>
      </c>
      <c r="AT118">
        <f>IFERROR(ROUND(IF(Tableau_query__18[[#This Row],[Sous famille]]&lt;&gt;"",VLOOKUP(Tableau_query__18[[#This Row],[Sous famille]],'A013 TCD'!G:H,2,FALSE),VLOOKUP(Tableau_query__18[[#This Row],[Famille d''achat]],'A013 TCD'!D:E,2,FALSE))/1000,0),"")</f>
        <v>9</v>
      </c>
    </row>
    <row r="119" spans="1:46" ht="60" x14ac:dyDescent="0.25">
      <c r="A119" s="1">
        <v>126</v>
      </c>
      <c r="B119" s="2" t="s">
        <v>457</v>
      </c>
      <c r="C119" s="3">
        <v>45916</v>
      </c>
      <c r="D119" s="2" t="s">
        <v>458</v>
      </c>
      <c r="E119" s="2" t="s">
        <v>423</v>
      </c>
      <c r="F119" s="2" t="s">
        <v>435</v>
      </c>
      <c r="G119" s="2"/>
      <c r="H119" s="2" t="s">
        <v>116</v>
      </c>
      <c r="I119" s="2" t="s">
        <v>77</v>
      </c>
      <c r="J119" s="2" t="s">
        <v>153</v>
      </c>
      <c r="K119" s="2" t="s">
        <v>72</v>
      </c>
      <c r="L119" s="2" t="s">
        <v>52</v>
      </c>
      <c r="M119" s="2" t="s">
        <v>94</v>
      </c>
      <c r="N119" s="2" t="s">
        <v>86</v>
      </c>
      <c r="O119" s="2" t="s">
        <v>55</v>
      </c>
      <c r="P119" s="2" t="s">
        <v>255</v>
      </c>
      <c r="Q119" s="2" t="s">
        <v>57</v>
      </c>
      <c r="R119" s="2" t="s">
        <v>58</v>
      </c>
      <c r="S119" s="2" t="s">
        <v>58</v>
      </c>
      <c r="T119" s="2" t="s">
        <v>61</v>
      </c>
      <c r="U119" s="2" t="s">
        <v>59</v>
      </c>
      <c r="V119" s="2" t="s">
        <v>59</v>
      </c>
      <c r="W119" s="2" t="s">
        <v>58</v>
      </c>
      <c r="X119" s="2" t="s">
        <v>59</v>
      </c>
      <c r="Y119" s="2" t="s">
        <v>61</v>
      </c>
      <c r="Z119" s="2" t="s">
        <v>59</v>
      </c>
      <c r="AA119" s="2" t="s">
        <v>59</v>
      </c>
      <c r="AB119" s="2" t="s">
        <v>58</v>
      </c>
      <c r="AC119" s="2" t="s">
        <v>59</v>
      </c>
      <c r="AD119" s="2" t="s">
        <v>61</v>
      </c>
      <c r="AE119" s="2" t="s">
        <v>61</v>
      </c>
      <c r="AF119" s="2" t="s">
        <v>60</v>
      </c>
      <c r="AG119" s="2" t="s">
        <v>59</v>
      </c>
      <c r="AH119" s="2" t="s">
        <v>98</v>
      </c>
      <c r="AI119" s="4" t="s">
        <v>459</v>
      </c>
      <c r="AJ119" s="2"/>
      <c r="AK119" s="2" t="s">
        <v>434</v>
      </c>
      <c r="AL119" s="5">
        <v>3.5</v>
      </c>
      <c r="AM119" s="5">
        <v>7.5</v>
      </c>
      <c r="AN119">
        <v>4</v>
      </c>
      <c r="AO119">
        <v>9.6</v>
      </c>
      <c r="AP119">
        <v>4</v>
      </c>
      <c r="AQ119">
        <v>4</v>
      </c>
      <c r="AR119" s="2" t="s">
        <v>66</v>
      </c>
      <c r="AS119" s="2" t="s">
        <v>65</v>
      </c>
      <c r="AT119">
        <f>IFERROR(ROUND(IF(Tableau_query__18[[#This Row],[Sous famille]]&lt;&gt;"",VLOOKUP(Tableau_query__18[[#This Row],[Sous famille]],'A013 TCD'!G:H,2,FALSE),VLOOKUP(Tableau_query__18[[#This Row],[Famille d''achat]],'A013 TCD'!D:E,2,FALSE))/1000,0),"")</f>
        <v>2432</v>
      </c>
    </row>
    <row r="120" spans="1:46" ht="30" hidden="1" x14ac:dyDescent="0.25">
      <c r="A120" s="1">
        <v>133</v>
      </c>
      <c r="B120" s="2" t="s">
        <v>460</v>
      </c>
      <c r="C120" s="3">
        <v>45939</v>
      </c>
      <c r="D120" s="2" t="s">
        <v>363</v>
      </c>
      <c r="E120" s="2" t="s">
        <v>241</v>
      </c>
      <c r="F120" s="2" t="s">
        <v>464</v>
      </c>
      <c r="G120" s="2" t="s">
        <v>461</v>
      </c>
      <c r="H120" s="2" t="s">
        <v>116</v>
      </c>
      <c r="I120" s="2" t="s">
        <v>70</v>
      </c>
      <c r="J120" s="2" t="s">
        <v>103</v>
      </c>
      <c r="K120" s="2" t="s">
        <v>72</v>
      </c>
      <c r="L120" s="2" t="s">
        <v>52</v>
      </c>
      <c r="M120" s="2" t="s">
        <v>361</v>
      </c>
      <c r="N120" s="2" t="s">
        <v>86</v>
      </c>
      <c r="O120" s="2" t="s">
        <v>55</v>
      </c>
      <c r="P120" s="2" t="s">
        <v>155</v>
      </c>
      <c r="Q120" s="2" t="s">
        <v>118</v>
      </c>
      <c r="R120" s="2"/>
      <c r="S120" s="2"/>
      <c r="T120" s="2" t="s">
        <v>58</v>
      </c>
      <c r="U120" s="2" t="s">
        <v>58</v>
      </c>
      <c r="V120" s="2" t="s">
        <v>59</v>
      </c>
      <c r="W120" s="2"/>
      <c r="X120" s="2" t="s">
        <v>59</v>
      </c>
      <c r="Y120" s="2" t="s">
        <v>59</v>
      </c>
      <c r="Z120" s="2" t="s">
        <v>59</v>
      </c>
      <c r="AA120" s="2"/>
      <c r="AB120" s="2"/>
      <c r="AC120" s="2" t="s">
        <v>59</v>
      </c>
      <c r="AD120" s="2" t="s">
        <v>59</v>
      </c>
      <c r="AE120" s="2" t="s">
        <v>59</v>
      </c>
      <c r="AF120" s="2"/>
      <c r="AG120" s="2" t="s">
        <v>59</v>
      </c>
      <c r="AH120" s="2" t="s">
        <v>98</v>
      </c>
      <c r="AI120" s="4" t="s">
        <v>462</v>
      </c>
      <c r="AJ120" s="2" t="s">
        <v>463</v>
      </c>
      <c r="AK120" s="2" t="s">
        <v>82</v>
      </c>
      <c r="AL120" s="5">
        <v>2.5</v>
      </c>
      <c r="AM120" s="5">
        <v>1.5</v>
      </c>
      <c r="AN120">
        <v>3.2</v>
      </c>
      <c r="AO120">
        <v>4</v>
      </c>
      <c r="AP120">
        <v>1.6</v>
      </c>
      <c r="AQ120">
        <v>0</v>
      </c>
      <c r="AR120" s="2" t="s">
        <v>66</v>
      </c>
      <c r="AS120" s="2" t="s">
        <v>65</v>
      </c>
      <c r="AT120">
        <f>IFERROR(ROUND(IF(Tableau_query__18[[#This Row],[Sous famille]]&lt;&gt;"",VLOOKUP(Tableau_query__18[[#This Row],[Sous famille]],'A013 TCD'!G:H,2,FALSE),VLOOKUP(Tableau_query__18[[#This Row],[Famille d''achat]],'A013 TCD'!D:E,2,FALSE))/1000,0),"")</f>
        <v>108</v>
      </c>
    </row>
    <row r="121" spans="1:46" hidden="1" x14ac:dyDescent="0.25">
      <c r="A121" s="1">
        <v>134</v>
      </c>
      <c r="B121" s="2" t="s">
        <v>465</v>
      </c>
      <c r="C121" s="3">
        <v>45966</v>
      </c>
      <c r="D121" s="2" t="s">
        <v>466</v>
      </c>
      <c r="E121" s="2" t="s">
        <v>241</v>
      </c>
      <c r="F121" s="2" t="s">
        <v>464</v>
      </c>
      <c r="G121" s="2" t="s">
        <v>467</v>
      </c>
      <c r="H121" s="2" t="s">
        <v>69</v>
      </c>
      <c r="I121" s="2" t="s">
        <v>77</v>
      </c>
      <c r="J121" s="2" t="s">
        <v>153</v>
      </c>
      <c r="K121" s="2"/>
      <c r="L121" s="2" t="s">
        <v>52</v>
      </c>
      <c r="M121" s="2" t="s">
        <v>154</v>
      </c>
      <c r="N121" s="2" t="s">
        <v>86</v>
      </c>
      <c r="O121" s="2" t="s">
        <v>55</v>
      </c>
      <c r="P121" s="2" t="s">
        <v>155</v>
      </c>
      <c r="Q121" s="2" t="s">
        <v>133</v>
      </c>
      <c r="R121" s="2"/>
      <c r="S121" s="2"/>
      <c r="T121" s="2" t="s">
        <v>58</v>
      </c>
      <c r="U121" s="2" t="s">
        <v>58</v>
      </c>
      <c r="V121" s="2" t="s">
        <v>58</v>
      </c>
      <c r="W121" s="2"/>
      <c r="X121" s="2" t="s">
        <v>58</v>
      </c>
      <c r="Y121" s="2" t="s">
        <v>59</v>
      </c>
      <c r="Z121" s="2" t="s">
        <v>58</v>
      </c>
      <c r="AA121" s="2"/>
      <c r="AB121" s="2"/>
      <c r="AC121" s="2" t="s">
        <v>58</v>
      </c>
      <c r="AD121" s="2" t="s">
        <v>58</v>
      </c>
      <c r="AE121" s="2" t="s">
        <v>58</v>
      </c>
      <c r="AF121" s="2"/>
      <c r="AG121" s="2" t="s">
        <v>61</v>
      </c>
      <c r="AH121" s="2" t="s">
        <v>62</v>
      </c>
      <c r="AI121" s="4" t="s">
        <v>468</v>
      </c>
      <c r="AJ121" s="2" t="s">
        <v>463</v>
      </c>
      <c r="AK121" s="2" t="s">
        <v>277</v>
      </c>
      <c r="AL121" s="5">
        <v>1</v>
      </c>
      <c r="AM121" s="5">
        <v>0.5</v>
      </c>
      <c r="AN121">
        <v>2.4</v>
      </c>
      <c r="AO121">
        <v>1.6</v>
      </c>
      <c r="AP121">
        <v>1.6</v>
      </c>
      <c r="AQ121">
        <v>0</v>
      </c>
      <c r="AR121" s="2" t="s">
        <v>66</v>
      </c>
      <c r="AS121" s="2" t="s">
        <v>65</v>
      </c>
      <c r="AT121">
        <f>IFERROR(ROUND(IF(Tableau_query__18[[#This Row],[Sous famille]]&lt;&gt;"",VLOOKUP(Tableau_query__18[[#This Row],[Sous famille]],'A013 TCD'!G:H,2,FALSE),VLOOKUP(Tableau_query__18[[#This Row],[Famille d''achat]],'A013 TCD'!D:E,2,FALSE))/1000,0),"")</f>
        <v>128</v>
      </c>
    </row>
    <row r="122" spans="1:46" hidden="1" x14ac:dyDescent="0.25">
      <c r="A122" s="1">
        <v>135</v>
      </c>
      <c r="B122" s="2" t="s">
        <v>469</v>
      </c>
      <c r="C122" s="3">
        <v>45975</v>
      </c>
      <c r="D122" s="2" t="s">
        <v>290</v>
      </c>
      <c r="E122" s="2" t="s">
        <v>241</v>
      </c>
      <c r="F122" s="2" t="s">
        <v>471</v>
      </c>
      <c r="G122" s="2" t="s">
        <v>470</v>
      </c>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4"/>
      <c r="AJ122" s="2"/>
      <c r="AK122" s="2"/>
      <c r="AL122" s="5">
        <v>0</v>
      </c>
      <c r="AM122" s="5">
        <v>0</v>
      </c>
      <c r="AN122">
        <v>0</v>
      </c>
      <c r="AO122">
        <v>0</v>
      </c>
      <c r="AP122">
        <v>0</v>
      </c>
      <c r="AQ122">
        <v>0</v>
      </c>
      <c r="AR122" s="2" t="s">
        <v>66</v>
      </c>
      <c r="AS122" s="2" t="s">
        <v>65</v>
      </c>
      <c r="AT122" t="str">
        <f>IFERROR(ROUND(IF(Tableau_query__18[[#This Row],[Sous famille]]&lt;&gt;"",VLOOKUP(Tableau_query__18[[#This Row],[Sous famille]],'A013 TCD'!G:H,2,FALSE),VLOOKUP(Tableau_query__18[[#This Row],[Famille d''achat]],'A013 TCD'!D:E,2,FALSE))/1000,0),"")</f>
        <v/>
      </c>
    </row>
    <row r="123" spans="1:46" hidden="1" x14ac:dyDescent="0.25">
      <c r="A123" s="1">
        <v>136</v>
      </c>
      <c r="B123" s="2" t="s">
        <v>472</v>
      </c>
      <c r="C123" s="3">
        <v>45975</v>
      </c>
      <c r="D123" s="2" t="s">
        <v>381</v>
      </c>
      <c r="E123" s="2" t="s">
        <v>241</v>
      </c>
      <c r="F123" s="2" t="s">
        <v>464</v>
      </c>
      <c r="G123" s="2" t="s">
        <v>381</v>
      </c>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4"/>
      <c r="AJ123" s="2"/>
      <c r="AK123" s="2"/>
      <c r="AL123" s="5">
        <v>0</v>
      </c>
      <c r="AM123" s="5">
        <v>0</v>
      </c>
      <c r="AN123">
        <v>0</v>
      </c>
      <c r="AO123">
        <v>0</v>
      </c>
      <c r="AP123">
        <v>0</v>
      </c>
      <c r="AQ123">
        <v>0</v>
      </c>
      <c r="AR123" s="2" t="s">
        <v>66</v>
      </c>
      <c r="AS123" s="2" t="s">
        <v>65</v>
      </c>
      <c r="AT123">
        <f>IFERROR(ROUND(IF(Tableau_query__18[[#This Row],[Sous famille]]&lt;&gt;"",VLOOKUP(Tableau_query__18[[#This Row],[Sous famille]],'A013 TCD'!G:H,2,FALSE),VLOOKUP(Tableau_query__18[[#This Row],[Famille d''achat]],'A013 TCD'!D:E,2,FALSE))/1000,0),"")</f>
        <v>360</v>
      </c>
    </row>
    <row r="124" spans="1:46" hidden="1" x14ac:dyDescent="0.25">
      <c r="A124" s="1">
        <v>137</v>
      </c>
      <c r="B124" s="2" t="s">
        <v>473</v>
      </c>
      <c r="C124" s="3">
        <v>45975</v>
      </c>
      <c r="D124" s="2" t="s">
        <v>345</v>
      </c>
      <c r="E124" s="2" t="s">
        <v>241</v>
      </c>
      <c r="F124" s="2" t="s">
        <v>464</v>
      </c>
      <c r="G124" s="2" t="s">
        <v>474</v>
      </c>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4"/>
      <c r="AJ124" s="2"/>
      <c r="AK124" s="2"/>
      <c r="AL124" s="5">
        <v>0</v>
      </c>
      <c r="AM124" s="5">
        <v>0</v>
      </c>
      <c r="AN124">
        <v>0</v>
      </c>
      <c r="AO124">
        <v>0</v>
      </c>
      <c r="AP124">
        <v>0</v>
      </c>
      <c r="AQ124">
        <v>0</v>
      </c>
      <c r="AR124" s="2" t="s">
        <v>66</v>
      </c>
      <c r="AS124" s="2" t="s">
        <v>65</v>
      </c>
      <c r="AT124">
        <f>IFERROR(ROUND(IF(Tableau_query__18[[#This Row],[Sous famille]]&lt;&gt;"",VLOOKUP(Tableau_query__18[[#This Row],[Sous famille]],'A013 TCD'!G:H,2,FALSE),VLOOKUP(Tableau_query__18[[#This Row],[Famille d''achat]],'A013 TCD'!D:E,2,FALSE))/1000,0),"")</f>
        <v>1134</v>
      </c>
    </row>
    <row r="125" spans="1:46" hidden="1" x14ac:dyDescent="0.25">
      <c r="A125" s="1">
        <v>138</v>
      </c>
      <c r="B125" s="2" t="s">
        <v>475</v>
      </c>
      <c r="C125" s="3">
        <v>45975</v>
      </c>
      <c r="D125" s="2" t="s">
        <v>345</v>
      </c>
      <c r="E125" s="2" t="s">
        <v>241</v>
      </c>
      <c r="F125" s="2" t="s">
        <v>464</v>
      </c>
      <c r="G125" s="2" t="s">
        <v>474</v>
      </c>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4"/>
      <c r="AJ125" s="2"/>
      <c r="AK125" s="2"/>
      <c r="AL125" s="5">
        <v>0</v>
      </c>
      <c r="AM125" s="5">
        <v>0</v>
      </c>
      <c r="AN125">
        <v>0</v>
      </c>
      <c r="AO125">
        <v>0</v>
      </c>
      <c r="AP125">
        <v>0</v>
      </c>
      <c r="AQ125">
        <v>0</v>
      </c>
      <c r="AR125" s="2" t="s">
        <v>66</v>
      </c>
      <c r="AS125" s="2" t="s">
        <v>65</v>
      </c>
      <c r="AT125">
        <f>IFERROR(ROUND(IF(Tableau_query__18[[#This Row],[Sous famille]]&lt;&gt;"",VLOOKUP(Tableau_query__18[[#This Row],[Sous famille]],'A013 TCD'!G:H,2,FALSE),VLOOKUP(Tableau_query__18[[#This Row],[Famille d''achat]],'A013 TCD'!D:E,2,FALSE))/1000,0),"")</f>
        <v>1134</v>
      </c>
    </row>
    <row r="126" spans="1:46" ht="180" hidden="1" x14ac:dyDescent="0.25">
      <c r="A126" s="1">
        <v>139</v>
      </c>
      <c r="B126" s="2" t="s">
        <v>291</v>
      </c>
      <c r="C126" s="3">
        <v>45994</v>
      </c>
      <c r="D126" s="2" t="s">
        <v>292</v>
      </c>
      <c r="E126" s="2" t="s">
        <v>241</v>
      </c>
      <c r="F126" s="2" t="s">
        <v>296</v>
      </c>
      <c r="G126" s="2" t="s">
        <v>476</v>
      </c>
      <c r="H126" s="2" t="s">
        <v>116</v>
      </c>
      <c r="I126" s="2" t="s">
        <v>77</v>
      </c>
      <c r="J126" s="2" t="s">
        <v>153</v>
      </c>
      <c r="K126" s="2"/>
      <c r="L126" s="2" t="s">
        <v>85</v>
      </c>
      <c r="M126" s="2"/>
      <c r="N126" s="2" t="s">
        <v>79</v>
      </c>
      <c r="O126" s="2" t="s">
        <v>55</v>
      </c>
      <c r="P126" s="2" t="s">
        <v>155</v>
      </c>
      <c r="Q126" s="2" t="s">
        <v>97</v>
      </c>
      <c r="R126" s="2"/>
      <c r="S126" s="2"/>
      <c r="T126" s="2" t="s">
        <v>58</v>
      </c>
      <c r="U126" s="2" t="s">
        <v>58</v>
      </c>
      <c r="V126" s="2" t="s">
        <v>59</v>
      </c>
      <c r="W126" s="2"/>
      <c r="X126" s="2" t="s">
        <v>58</v>
      </c>
      <c r="Y126" s="2" t="s">
        <v>61</v>
      </c>
      <c r="Z126" s="2" t="s">
        <v>58</v>
      </c>
      <c r="AA126" s="2"/>
      <c r="AB126" s="2"/>
      <c r="AC126" s="2" t="s">
        <v>58</v>
      </c>
      <c r="AD126" s="2" t="s">
        <v>58</v>
      </c>
      <c r="AE126" s="2" t="s">
        <v>58</v>
      </c>
      <c r="AF126" s="2"/>
      <c r="AG126" s="2" t="s">
        <v>58</v>
      </c>
      <c r="AH126" s="2" t="s">
        <v>105</v>
      </c>
      <c r="AI126" s="4" t="s">
        <v>477</v>
      </c>
      <c r="AJ126" s="2"/>
      <c r="AK126" s="2" t="s">
        <v>299</v>
      </c>
      <c r="AL126" s="5">
        <v>0</v>
      </c>
      <c r="AM126" s="5">
        <v>0</v>
      </c>
      <c r="AN126">
        <v>0</v>
      </c>
      <c r="AO126">
        <v>0</v>
      </c>
      <c r="AP126">
        <v>0</v>
      </c>
      <c r="AQ126">
        <v>0</v>
      </c>
      <c r="AR126" s="2" t="s">
        <v>66</v>
      </c>
      <c r="AS126" s="2" t="s">
        <v>65</v>
      </c>
      <c r="AT126">
        <f>IFERROR(ROUND(IF(Tableau_query__18[[#This Row],[Sous famille]]&lt;&gt;"",VLOOKUP(Tableau_query__18[[#This Row],[Sous famille]],'A013 TCD'!G:H,2,FALSE),VLOOKUP(Tableau_query__18[[#This Row],[Famille d''achat]],'A013 TCD'!D:E,2,FALSE))/1000,0),"")</f>
        <v>311</v>
      </c>
    </row>
    <row r="127" spans="1:46" hidden="1" x14ac:dyDescent="0.25">
      <c r="A127" s="1">
        <v>140</v>
      </c>
      <c r="B127" s="2" t="s">
        <v>478</v>
      </c>
      <c r="C127" s="3">
        <v>46014</v>
      </c>
      <c r="D127" s="2" t="s">
        <v>365</v>
      </c>
      <c r="E127" s="2" t="s">
        <v>241</v>
      </c>
      <c r="F127" s="2" t="s">
        <v>247</v>
      </c>
      <c r="G127" s="2" t="s">
        <v>479</v>
      </c>
      <c r="H127" s="2" t="s">
        <v>116</v>
      </c>
      <c r="I127" s="2" t="s">
        <v>77</v>
      </c>
      <c r="J127" s="2" t="s">
        <v>153</v>
      </c>
      <c r="K127" s="2" t="s">
        <v>72</v>
      </c>
      <c r="L127" s="2" t="s">
        <v>52</v>
      </c>
      <c r="M127" s="2" t="s">
        <v>94</v>
      </c>
      <c r="N127" s="2" t="s">
        <v>86</v>
      </c>
      <c r="O127" s="2" t="s">
        <v>55</v>
      </c>
      <c r="P127" s="2" t="s">
        <v>155</v>
      </c>
      <c r="Q127" s="2" t="s">
        <v>97</v>
      </c>
      <c r="R127" s="2" t="s">
        <v>59</v>
      </c>
      <c r="S127" s="2" t="s">
        <v>61</v>
      </c>
      <c r="T127" s="2" t="s">
        <v>60</v>
      </c>
      <c r="U127" s="2" t="s">
        <v>60</v>
      </c>
      <c r="V127" s="2" t="s">
        <v>59</v>
      </c>
      <c r="W127" s="2" t="s">
        <v>59</v>
      </c>
      <c r="X127" s="2" t="s">
        <v>60</v>
      </c>
      <c r="Y127" s="2" t="s">
        <v>60</v>
      </c>
      <c r="Z127" s="2" t="s">
        <v>60</v>
      </c>
      <c r="AA127" s="2" t="s">
        <v>60</v>
      </c>
      <c r="AB127" s="2" t="s">
        <v>58</v>
      </c>
      <c r="AC127" s="2" t="s">
        <v>60</v>
      </c>
      <c r="AD127" s="2" t="s">
        <v>60</v>
      </c>
      <c r="AE127" s="2" t="s">
        <v>61</v>
      </c>
      <c r="AF127" s="2" t="s">
        <v>58</v>
      </c>
      <c r="AG127" s="2" t="s">
        <v>58</v>
      </c>
      <c r="AH127" s="2" t="s">
        <v>270</v>
      </c>
      <c r="AI127" s="4" t="s">
        <v>480</v>
      </c>
      <c r="AJ127" s="2" t="s">
        <v>89</v>
      </c>
      <c r="AK127" s="2" t="s">
        <v>434</v>
      </c>
      <c r="AL127" s="5">
        <v>7</v>
      </c>
      <c r="AM127" s="5">
        <v>6.5</v>
      </c>
      <c r="AN127">
        <v>1.6</v>
      </c>
      <c r="AO127">
        <v>1.6</v>
      </c>
      <c r="AP127">
        <v>0</v>
      </c>
      <c r="AQ127">
        <v>0</v>
      </c>
      <c r="AR127" s="2" t="s">
        <v>66</v>
      </c>
      <c r="AS127" s="2" t="s">
        <v>65</v>
      </c>
      <c r="AT127" t="str">
        <f>IFERROR(ROUND(IF(Tableau_query__18[[#This Row],[Sous famille]]&lt;&gt;"",VLOOKUP(Tableau_query__18[[#This Row],[Sous famille]],'A013 TCD'!G:H,2,FALSE),VLOOKUP(Tableau_query__18[[#This Row],[Famille d''achat]],'A013 TCD'!D:E,2,FALSE))/1000,0),"")</f>
        <v/>
      </c>
    </row>
    <row r="128" spans="1:46" ht="75" hidden="1" x14ac:dyDescent="0.25">
      <c r="A128" s="1">
        <v>141</v>
      </c>
      <c r="B128" s="2" t="s">
        <v>481</v>
      </c>
      <c r="C128" s="3">
        <v>46031</v>
      </c>
      <c r="D128" s="2" t="s">
        <v>318</v>
      </c>
      <c r="E128" s="2" t="s">
        <v>482</v>
      </c>
      <c r="F128" s="2" t="s">
        <v>247</v>
      </c>
      <c r="G128" s="2" t="s">
        <v>483</v>
      </c>
      <c r="H128" s="2" t="s">
        <v>116</v>
      </c>
      <c r="I128" s="2" t="s">
        <v>77</v>
      </c>
      <c r="J128" s="2" t="s">
        <v>153</v>
      </c>
      <c r="K128" s="2" t="s">
        <v>72</v>
      </c>
      <c r="L128" s="2" t="s">
        <v>52</v>
      </c>
      <c r="M128" s="2" t="s">
        <v>94</v>
      </c>
      <c r="N128" s="2" t="s">
        <v>86</v>
      </c>
      <c r="O128" s="2" t="s">
        <v>132</v>
      </c>
      <c r="P128" s="2" t="s">
        <v>155</v>
      </c>
      <c r="Q128" s="2" t="s">
        <v>97</v>
      </c>
      <c r="R128" s="2" t="s">
        <v>61</v>
      </c>
      <c r="S128" s="2" t="s">
        <v>58</v>
      </c>
      <c r="T128" s="2" t="s">
        <v>58</v>
      </c>
      <c r="U128" s="2" t="s">
        <v>61</v>
      </c>
      <c r="V128" s="2" t="s">
        <v>58</v>
      </c>
      <c r="W128" s="2" t="s">
        <v>58</v>
      </c>
      <c r="X128" s="2" t="s">
        <v>61</v>
      </c>
      <c r="Y128" s="2" t="s">
        <v>60</v>
      </c>
      <c r="Z128" s="2" t="s">
        <v>61</v>
      </c>
      <c r="AA128" s="2" t="s">
        <v>61</v>
      </c>
      <c r="AB128" s="2" t="s">
        <v>58</v>
      </c>
      <c r="AC128" s="2" t="s">
        <v>58</v>
      </c>
      <c r="AD128" s="2" t="s">
        <v>61</v>
      </c>
      <c r="AE128" s="2" t="s">
        <v>58</v>
      </c>
      <c r="AF128" s="2" t="s">
        <v>61</v>
      </c>
      <c r="AG128" s="2" t="s">
        <v>59</v>
      </c>
      <c r="AH128" s="2" t="s">
        <v>87</v>
      </c>
      <c r="AI128" s="4" t="s">
        <v>484</v>
      </c>
      <c r="AJ128" s="2" t="s">
        <v>485</v>
      </c>
      <c r="AK128" s="2"/>
      <c r="AL128" s="5">
        <v>4.5</v>
      </c>
      <c r="AM128" s="5">
        <v>4.5</v>
      </c>
      <c r="AN128">
        <v>1.6</v>
      </c>
      <c r="AO128">
        <v>2.4</v>
      </c>
      <c r="AP128">
        <v>0</v>
      </c>
      <c r="AQ128">
        <v>0</v>
      </c>
      <c r="AR128" s="2" t="s">
        <v>66</v>
      </c>
      <c r="AS128" s="2" t="s">
        <v>65</v>
      </c>
      <c r="AT128">
        <f>IFERROR(ROUND(IF(Tableau_query__18[[#This Row],[Sous famille]]&lt;&gt;"",VLOOKUP(Tableau_query__18[[#This Row],[Sous famille]],'A013 TCD'!G:H,2,FALSE),VLOOKUP(Tableau_query__18[[#This Row],[Famille d''achat]],'A013 TCD'!D:E,2,FALSE))/1000,0),"")</f>
        <v>373</v>
      </c>
    </row>
    <row r="129" spans="1:46" ht="45" hidden="1" x14ac:dyDescent="0.25">
      <c r="A129" s="1">
        <v>142</v>
      </c>
      <c r="B129" s="2" t="s">
        <v>486</v>
      </c>
      <c r="C129" s="3">
        <v>46058</v>
      </c>
      <c r="D129" s="2" t="s">
        <v>351</v>
      </c>
      <c r="E129" s="2" t="s">
        <v>241</v>
      </c>
      <c r="F129" s="2" t="s">
        <v>247</v>
      </c>
      <c r="G129" s="2" t="s">
        <v>487</v>
      </c>
      <c r="H129" s="2" t="s">
        <v>48</v>
      </c>
      <c r="I129" s="2" t="s">
        <v>77</v>
      </c>
      <c r="J129" s="2" t="s">
        <v>71</v>
      </c>
      <c r="K129" s="2" t="s">
        <v>72</v>
      </c>
      <c r="L129" s="2" t="s">
        <v>52</v>
      </c>
      <c r="M129" s="2" t="s">
        <v>254</v>
      </c>
      <c r="N129" s="2" t="s">
        <v>86</v>
      </c>
      <c r="O129" s="2" t="s">
        <v>96</v>
      </c>
      <c r="P129" s="2" t="s">
        <v>117</v>
      </c>
      <c r="Q129" s="2" t="s">
        <v>97</v>
      </c>
      <c r="R129" s="2"/>
      <c r="S129" s="2"/>
      <c r="T129" s="2" t="s">
        <v>60</v>
      </c>
      <c r="U129" s="2" t="s">
        <v>61</v>
      </c>
      <c r="V129" s="2" t="s">
        <v>58</v>
      </c>
      <c r="W129" s="2"/>
      <c r="X129" s="2" t="s">
        <v>59</v>
      </c>
      <c r="Y129" s="2" t="s">
        <v>61</v>
      </c>
      <c r="Z129" s="2" t="s">
        <v>59</v>
      </c>
      <c r="AA129" s="2" t="s">
        <v>59</v>
      </c>
      <c r="AB129" s="2"/>
      <c r="AC129" s="2" t="s">
        <v>58</v>
      </c>
      <c r="AD129" s="2" t="s">
        <v>59</v>
      </c>
      <c r="AE129" s="2" t="s">
        <v>59</v>
      </c>
      <c r="AF129" s="2" t="s">
        <v>60</v>
      </c>
      <c r="AG129" s="2" t="s">
        <v>58</v>
      </c>
      <c r="AH129" s="2" t="s">
        <v>105</v>
      </c>
      <c r="AI129" s="4" t="s">
        <v>488</v>
      </c>
      <c r="AJ129" s="2"/>
      <c r="AK129" s="2"/>
      <c r="AL129" s="5">
        <v>0</v>
      </c>
      <c r="AM129" s="5">
        <v>0</v>
      </c>
      <c r="AN129">
        <v>4</v>
      </c>
      <c r="AO129">
        <v>5.6</v>
      </c>
      <c r="AP129">
        <v>1.6</v>
      </c>
      <c r="AQ129">
        <v>0.8</v>
      </c>
      <c r="AR129" s="2" t="s">
        <v>66</v>
      </c>
      <c r="AS129" s="2" t="s">
        <v>65</v>
      </c>
      <c r="AT129" t="str">
        <f>IFERROR(ROUND(IF(Tableau_query__18[[#This Row],[Sous famille]]&lt;&gt;"",VLOOKUP(Tableau_query__18[[#This Row],[Sous famille]],'A013 TCD'!G:H,2,FALSE),VLOOKUP(Tableau_query__18[[#This Row],[Famille d''achat]],'A013 TCD'!D:E,2,FALSE))/1000,0),"")</f>
        <v/>
      </c>
    </row>
    <row r="130" spans="1:46" hidden="1" x14ac:dyDescent="0.25">
      <c r="A130" s="1">
        <v>143</v>
      </c>
      <c r="B130" s="2" t="s">
        <v>489</v>
      </c>
      <c r="C130" s="3">
        <v>46058</v>
      </c>
      <c r="D130" s="2" t="s">
        <v>351</v>
      </c>
      <c r="E130" s="2" t="s">
        <v>241</v>
      </c>
      <c r="F130" s="2" t="s">
        <v>247</v>
      </c>
      <c r="G130" s="2" t="s">
        <v>490</v>
      </c>
      <c r="H130" s="2" t="s">
        <v>116</v>
      </c>
      <c r="I130" s="2" t="s">
        <v>70</v>
      </c>
      <c r="J130" s="2" t="s">
        <v>153</v>
      </c>
      <c r="K130" s="2" t="s">
        <v>72</v>
      </c>
      <c r="L130" s="2" t="s">
        <v>52</v>
      </c>
      <c r="M130" s="2" t="s">
        <v>94</v>
      </c>
      <c r="N130" s="2" t="s">
        <v>86</v>
      </c>
      <c r="O130" s="2" t="s">
        <v>55</v>
      </c>
      <c r="P130" s="2" t="s">
        <v>155</v>
      </c>
      <c r="Q130" s="2" t="s">
        <v>97</v>
      </c>
      <c r="R130" s="2" t="s">
        <v>59</v>
      </c>
      <c r="S130" s="2" t="s">
        <v>58</v>
      </c>
      <c r="T130" s="2" t="s">
        <v>59</v>
      </c>
      <c r="U130" s="2" t="s">
        <v>59</v>
      </c>
      <c r="V130" s="2" t="s">
        <v>59</v>
      </c>
      <c r="W130" s="2" t="s">
        <v>59</v>
      </c>
      <c r="X130" s="2" t="s">
        <v>59</v>
      </c>
      <c r="Y130" s="2" t="s">
        <v>59</v>
      </c>
      <c r="Z130" s="2" t="s">
        <v>59</v>
      </c>
      <c r="AA130" s="2" t="s">
        <v>60</v>
      </c>
      <c r="AB130" s="2" t="s">
        <v>59</v>
      </c>
      <c r="AC130" s="2" t="s">
        <v>61</v>
      </c>
      <c r="AD130" s="2" t="s">
        <v>61</v>
      </c>
      <c r="AE130" s="2" t="s">
        <v>59</v>
      </c>
      <c r="AF130" s="2" t="s">
        <v>61</v>
      </c>
      <c r="AG130" s="2" t="s">
        <v>61</v>
      </c>
      <c r="AH130" s="2" t="s">
        <v>98</v>
      </c>
      <c r="AI130" s="4" t="s">
        <v>491</v>
      </c>
      <c r="AJ130" s="2"/>
      <c r="AK130" s="2" t="s">
        <v>322</v>
      </c>
      <c r="AL130" s="5">
        <v>1</v>
      </c>
      <c r="AM130" s="5">
        <v>0</v>
      </c>
      <c r="AN130">
        <v>0.8</v>
      </c>
      <c r="AO130">
        <v>1.6</v>
      </c>
      <c r="AP130">
        <v>0</v>
      </c>
      <c r="AQ130">
        <v>1.6</v>
      </c>
      <c r="AR130" s="2" t="s">
        <v>66</v>
      </c>
      <c r="AS130" s="2" t="s">
        <v>65</v>
      </c>
      <c r="AT130">
        <f>IFERROR(ROUND(IF(Tableau_query__18[[#This Row],[Sous famille]]&lt;&gt;"",VLOOKUP(Tableau_query__18[[#This Row],[Sous famille]],'A013 TCD'!G:H,2,FALSE),VLOOKUP(Tableau_query__18[[#This Row],[Famille d''achat]],'A013 TCD'!D:E,2,FALSE))/1000,0),"")</f>
        <v>96</v>
      </c>
    </row>
    <row r="131" spans="1:46" ht="75" hidden="1" x14ac:dyDescent="0.25">
      <c r="A131" s="1">
        <v>144</v>
      </c>
      <c r="B131" s="2" t="s">
        <v>492</v>
      </c>
      <c r="C131" s="3">
        <v>46112</v>
      </c>
      <c r="D131" s="2" t="s">
        <v>493</v>
      </c>
      <c r="E131" s="2" t="s">
        <v>423</v>
      </c>
      <c r="F131" s="2" t="s">
        <v>495</v>
      </c>
      <c r="G131" s="2" t="s">
        <v>746</v>
      </c>
      <c r="H131" s="2" t="s">
        <v>116</v>
      </c>
      <c r="I131" s="2" t="s">
        <v>70</v>
      </c>
      <c r="J131" s="2" t="s">
        <v>397</v>
      </c>
      <c r="K131" s="2" t="s">
        <v>72</v>
      </c>
      <c r="L131" s="2" t="s">
        <v>52</v>
      </c>
      <c r="M131" s="2" t="s">
        <v>154</v>
      </c>
      <c r="N131" s="2" t="s">
        <v>86</v>
      </c>
      <c r="O131" s="2" t="s">
        <v>96</v>
      </c>
      <c r="P131" s="2" t="s">
        <v>117</v>
      </c>
      <c r="Q131" s="2" t="s">
        <v>118</v>
      </c>
      <c r="R131" s="2" t="s">
        <v>60</v>
      </c>
      <c r="S131" s="2" t="s">
        <v>59</v>
      </c>
      <c r="T131" s="2" t="s">
        <v>58</v>
      </c>
      <c r="U131" s="2" t="s">
        <v>59</v>
      </c>
      <c r="V131" s="2" t="s">
        <v>58</v>
      </c>
      <c r="W131" s="2" t="s">
        <v>58</v>
      </c>
      <c r="X131" s="2" t="s">
        <v>59</v>
      </c>
      <c r="Y131" s="2" t="s">
        <v>61</v>
      </c>
      <c r="Z131" s="2" t="s">
        <v>58</v>
      </c>
      <c r="AA131" s="2" t="s">
        <v>58</v>
      </c>
      <c r="AB131" s="2" t="s">
        <v>58</v>
      </c>
      <c r="AC131" s="2" t="s">
        <v>58</v>
      </c>
      <c r="AD131" s="2" t="s">
        <v>58</v>
      </c>
      <c r="AE131" s="2" t="s">
        <v>58</v>
      </c>
      <c r="AF131" s="2" t="s">
        <v>58</v>
      </c>
      <c r="AG131" s="2" t="s">
        <v>58</v>
      </c>
      <c r="AH131" s="2" t="s">
        <v>62</v>
      </c>
      <c r="AI131" s="4" t="s">
        <v>494</v>
      </c>
      <c r="AJ131" s="2"/>
      <c r="AK131" s="2" t="s">
        <v>428</v>
      </c>
      <c r="AL131" s="5">
        <v>0</v>
      </c>
      <c r="AM131" s="5">
        <v>0</v>
      </c>
      <c r="AN131">
        <v>0</v>
      </c>
      <c r="AO131">
        <v>0</v>
      </c>
      <c r="AP131">
        <v>0</v>
      </c>
      <c r="AQ131">
        <v>0</v>
      </c>
      <c r="AR131" s="2" t="s">
        <v>66</v>
      </c>
      <c r="AS131" s="2" t="s">
        <v>65</v>
      </c>
      <c r="AT131">
        <f>IFERROR(ROUND(IF(Tableau_query__18[[#This Row],[Sous famille]]&lt;&gt;"",VLOOKUP(Tableau_query__18[[#This Row],[Sous famille]],'A013 TCD'!G:H,2,FALSE),VLOOKUP(Tableau_query__18[[#This Row],[Famille d''achat]],'A013 TCD'!D:E,2,FALSE))/1000,0),"")</f>
        <v>200</v>
      </c>
    </row>
    <row r="132" spans="1:46" hidden="1" x14ac:dyDescent="0.25">
      <c r="A132" s="1">
        <v>145</v>
      </c>
      <c r="B132" s="2" t="s">
        <v>1036</v>
      </c>
      <c r="C132" s="3">
        <v>46113</v>
      </c>
      <c r="D132" s="2"/>
      <c r="E132" s="2"/>
      <c r="F132" s="2" t="s">
        <v>1037</v>
      </c>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4"/>
      <c r="AJ132" s="2"/>
      <c r="AK132" s="2"/>
      <c r="AL132" s="5"/>
      <c r="AM132" s="5"/>
      <c r="AR132" s="2" t="s">
        <v>66</v>
      </c>
      <c r="AS132" s="2" t="s">
        <v>65</v>
      </c>
      <c r="AT132" t="str">
        <f>IFERROR(ROUND(IF(Tableau_query__18[[#This Row],[Sous famille]]&lt;&gt;"",VLOOKUP(Tableau_query__18[[#This Row],[Sous famille]],'A013 TCD'!G:H,2,FALSE),VLOOKUP(Tableau_query__18[[#This Row],[Famille d''achat]],'A013 TCD'!D:E,2,FALSE))/1000,0),"")</f>
        <v/>
      </c>
    </row>
    <row r="133" spans="1:46" hidden="1" x14ac:dyDescent="0.25">
      <c r="A133" s="1">
        <v>146</v>
      </c>
      <c r="B133" s="2" t="s">
        <v>1039</v>
      </c>
      <c r="C133" s="3">
        <v>46113</v>
      </c>
      <c r="D133" s="2" t="s">
        <v>1040</v>
      </c>
      <c r="E133" s="2" t="s">
        <v>241</v>
      </c>
      <c r="F133" s="2"/>
      <c r="G133" s="2" t="s">
        <v>527</v>
      </c>
      <c r="H133" s="2" t="s">
        <v>69</v>
      </c>
      <c r="I133" s="2" t="s">
        <v>77</v>
      </c>
      <c r="J133" s="2" t="s">
        <v>153</v>
      </c>
      <c r="K133" s="2" t="s">
        <v>51</v>
      </c>
      <c r="L133" s="2" t="s">
        <v>378</v>
      </c>
      <c r="M133" s="2" t="s">
        <v>94</v>
      </c>
      <c r="N133" s="2" t="s">
        <v>86</v>
      </c>
      <c r="O133" s="2" t="s">
        <v>132</v>
      </c>
      <c r="P133" s="2" t="s">
        <v>117</v>
      </c>
      <c r="Q133" s="2" t="s">
        <v>133</v>
      </c>
      <c r="R133" s="2" t="s">
        <v>59</v>
      </c>
      <c r="S133" s="2" t="s">
        <v>59</v>
      </c>
      <c r="T133" s="2" t="s">
        <v>61</v>
      </c>
      <c r="U133" s="2" t="s">
        <v>61</v>
      </c>
      <c r="V133" s="2" t="s">
        <v>59</v>
      </c>
      <c r="W133" s="2" t="s">
        <v>59</v>
      </c>
      <c r="X133" s="2" t="s">
        <v>61</v>
      </c>
      <c r="Y133" s="2" t="s">
        <v>59</v>
      </c>
      <c r="Z133" s="2" t="s">
        <v>59</v>
      </c>
      <c r="AA133" s="2"/>
      <c r="AB133" s="2"/>
      <c r="AC133" s="2"/>
      <c r="AD133" s="2"/>
      <c r="AE133" s="2" t="s">
        <v>59</v>
      </c>
      <c r="AF133" s="2" t="s">
        <v>59</v>
      </c>
      <c r="AG133" s="2" t="s">
        <v>59</v>
      </c>
      <c r="AH133" s="2" t="s">
        <v>98</v>
      </c>
      <c r="AI133" s="4"/>
      <c r="AJ133" s="2"/>
      <c r="AK133" s="2"/>
      <c r="AL133" s="5"/>
      <c r="AM133" s="5"/>
      <c r="AR133" s="2" t="s">
        <v>66</v>
      </c>
      <c r="AS133" s="2" t="s">
        <v>65</v>
      </c>
      <c r="AT133">
        <f>IFERROR(ROUND(IF(Tableau_query__18[[#This Row],[Sous famille]]&lt;&gt;"",VLOOKUP(Tableau_query__18[[#This Row],[Sous famille]],'A013 TCD'!G:H,2,FALSE),VLOOKUP(Tableau_query__18[[#This Row],[Famille d''achat]],'A013 TCD'!D:E,2,FALSE))/1000,0),"")</f>
        <v>193</v>
      </c>
    </row>
  </sheetData>
  <conditionalFormatting sqref="A2:A133">
    <cfRule type="duplicateValues" dxfId="4" priority="19"/>
  </conditionalFormatting>
  <conditionalFormatting sqref="B2:B133">
    <cfRule type="duplicateValues" dxfId="3" priority="21"/>
  </conditionalFormatting>
  <conditionalFormatting sqref="D2:D133">
    <cfRule type="duplicateValues" dxfId="2" priority="23"/>
  </conditionalFormatting>
  <conditionalFormatting sqref="G2:G133">
    <cfRule type="duplicateValues" dxfId="1" priority="25"/>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38BBC-BB58-43F0-81AC-FF717B89C111}">
  <dimension ref="A1:L554"/>
  <sheetViews>
    <sheetView topLeftCell="A15" workbookViewId="0">
      <selection activeCell="H33" sqref="H33"/>
    </sheetView>
  </sheetViews>
  <sheetFormatPr baseColWidth="10" defaultRowHeight="15" x14ac:dyDescent="0.25"/>
  <cols>
    <col min="4" max="4" width="68.140625" bestFit="1" customWidth="1"/>
  </cols>
  <sheetData>
    <row r="1" spans="1:12" x14ac:dyDescent="0.25">
      <c r="A1" t="s">
        <v>2</v>
      </c>
      <c r="D1" t="s">
        <v>1031</v>
      </c>
      <c r="G1" t="s">
        <v>1032</v>
      </c>
    </row>
    <row r="3" spans="1:12" x14ac:dyDescent="0.25">
      <c r="A3" t="s">
        <v>496</v>
      </c>
      <c r="B3" t="s">
        <v>497</v>
      </c>
      <c r="D3" t="s">
        <v>496</v>
      </c>
      <c r="E3" t="s">
        <v>497</v>
      </c>
      <c r="G3" t="s">
        <v>496</v>
      </c>
      <c r="H3" t="s">
        <v>497</v>
      </c>
    </row>
    <row r="4" spans="1:12" x14ac:dyDescent="0.25">
      <c r="A4" t="s">
        <v>46</v>
      </c>
      <c r="B4">
        <v>29013541.439595673</v>
      </c>
      <c r="D4" t="s">
        <v>458</v>
      </c>
      <c r="E4">
        <v>2432388.9605039991</v>
      </c>
      <c r="G4" t="s">
        <v>498</v>
      </c>
      <c r="H4">
        <v>14769.96</v>
      </c>
      <c r="L4" s="6"/>
    </row>
    <row r="5" spans="1:12" x14ac:dyDescent="0.25">
      <c r="A5" t="s">
        <v>143</v>
      </c>
      <c r="B5">
        <v>23159711.094468456</v>
      </c>
      <c r="D5" t="s">
        <v>410</v>
      </c>
      <c r="E5">
        <v>1080907.8199999998</v>
      </c>
      <c r="G5" t="s">
        <v>499</v>
      </c>
      <c r="H5">
        <v>179917.80000000005</v>
      </c>
    </row>
    <row r="6" spans="1:12" x14ac:dyDescent="0.25">
      <c r="A6" t="s">
        <v>241</v>
      </c>
      <c r="B6">
        <v>135947491.08988824</v>
      </c>
      <c r="D6" t="s">
        <v>421</v>
      </c>
      <c r="E6">
        <v>281863.85000000003</v>
      </c>
      <c r="G6" t="s">
        <v>500</v>
      </c>
      <c r="H6">
        <v>487500.23500000004</v>
      </c>
    </row>
    <row r="7" spans="1:12" x14ac:dyDescent="0.25">
      <c r="A7" t="s">
        <v>423</v>
      </c>
      <c r="B7">
        <v>40798699.617558062</v>
      </c>
      <c r="D7" t="s">
        <v>239</v>
      </c>
      <c r="E7">
        <v>10505.26117</v>
      </c>
      <c r="G7" t="s">
        <v>501</v>
      </c>
      <c r="H7">
        <v>60576.763999999886</v>
      </c>
    </row>
    <row r="8" spans="1:12" x14ac:dyDescent="0.25">
      <c r="A8" t="s">
        <v>502</v>
      </c>
      <c r="B8">
        <v>228919443.24151045</v>
      </c>
      <c r="D8" t="s">
        <v>237</v>
      </c>
      <c r="E8">
        <v>93748.592799999984</v>
      </c>
      <c r="G8" t="s">
        <v>503</v>
      </c>
      <c r="H8">
        <v>9198.1600000000017</v>
      </c>
    </row>
    <row r="9" spans="1:12" x14ac:dyDescent="0.25">
      <c r="D9" t="s">
        <v>235</v>
      </c>
      <c r="E9">
        <v>338311.90105260035</v>
      </c>
      <c r="G9" t="s">
        <v>504</v>
      </c>
      <c r="H9">
        <v>102164.75</v>
      </c>
    </row>
    <row r="10" spans="1:12" x14ac:dyDescent="0.25">
      <c r="D10" t="s">
        <v>377</v>
      </c>
      <c r="E10">
        <v>1849742.07122</v>
      </c>
      <c r="G10" t="s">
        <v>505</v>
      </c>
      <c r="H10">
        <v>122366.9849600001</v>
      </c>
    </row>
    <row r="11" spans="1:12" x14ac:dyDescent="0.25">
      <c r="D11" t="s">
        <v>138</v>
      </c>
      <c r="E11">
        <v>4524370.603500003</v>
      </c>
      <c r="G11" t="s">
        <v>506</v>
      </c>
      <c r="H11">
        <v>24940.38</v>
      </c>
    </row>
    <row r="12" spans="1:12" x14ac:dyDescent="0.25">
      <c r="D12" t="s">
        <v>453</v>
      </c>
      <c r="E12">
        <v>9376.119999999999</v>
      </c>
      <c r="G12" t="s">
        <v>507</v>
      </c>
      <c r="H12">
        <v>25033.956407999998</v>
      </c>
    </row>
    <row r="13" spans="1:12" x14ac:dyDescent="0.25">
      <c r="D13" t="s">
        <v>407</v>
      </c>
      <c r="E13">
        <v>1091829.4314040081</v>
      </c>
      <c r="G13" t="s">
        <v>508</v>
      </c>
      <c r="H13">
        <v>8516.3700000000008</v>
      </c>
    </row>
    <row r="14" spans="1:12" x14ac:dyDescent="0.25">
      <c r="D14" t="s">
        <v>404</v>
      </c>
      <c r="E14">
        <v>16158.314000000004</v>
      </c>
      <c r="G14" t="s">
        <v>509</v>
      </c>
      <c r="H14">
        <v>1600.6200000000001</v>
      </c>
    </row>
    <row r="15" spans="1:12" x14ac:dyDescent="0.25">
      <c r="D15" t="s">
        <v>402</v>
      </c>
      <c r="E15">
        <v>2307644.15</v>
      </c>
      <c r="G15" t="s">
        <v>510</v>
      </c>
      <c r="H15">
        <v>47422.067899999944</v>
      </c>
    </row>
    <row r="16" spans="1:12" x14ac:dyDescent="0.25">
      <c r="D16" t="s">
        <v>233</v>
      </c>
      <c r="E16">
        <v>170374.16728100009</v>
      </c>
      <c r="G16" t="s">
        <v>511</v>
      </c>
      <c r="H16">
        <v>428.15999999999997</v>
      </c>
    </row>
    <row r="17" spans="4:8" x14ac:dyDescent="0.25">
      <c r="D17" t="s">
        <v>136</v>
      </c>
      <c r="E17">
        <v>3581502.0024000006</v>
      </c>
      <c r="G17" t="s">
        <v>512</v>
      </c>
      <c r="H17">
        <v>22575.260000000002</v>
      </c>
    </row>
    <row r="18" spans="4:8" x14ac:dyDescent="0.25">
      <c r="D18" t="s">
        <v>396</v>
      </c>
      <c r="E18">
        <v>84671.48</v>
      </c>
      <c r="G18" t="s">
        <v>513</v>
      </c>
      <c r="H18">
        <v>413.40999999999997</v>
      </c>
    </row>
    <row r="19" spans="4:8" x14ac:dyDescent="0.25">
      <c r="D19" t="s">
        <v>129</v>
      </c>
      <c r="E19">
        <v>117111.48999999999</v>
      </c>
      <c r="G19" t="s">
        <v>514</v>
      </c>
      <c r="H19">
        <v>109218.428715</v>
      </c>
    </row>
    <row r="20" spans="4:8" x14ac:dyDescent="0.25">
      <c r="D20" t="s">
        <v>231</v>
      </c>
      <c r="E20">
        <v>370096.52212950023</v>
      </c>
      <c r="G20" t="s">
        <v>515</v>
      </c>
      <c r="H20">
        <v>764182.3024419978</v>
      </c>
    </row>
    <row r="21" spans="4:8" x14ac:dyDescent="0.25">
      <c r="D21" t="s">
        <v>229</v>
      </c>
      <c r="E21">
        <v>846363.91607299971</v>
      </c>
      <c r="G21" t="s">
        <v>516</v>
      </c>
      <c r="H21">
        <v>58797.03641000003</v>
      </c>
    </row>
    <row r="22" spans="4:8" x14ac:dyDescent="0.25">
      <c r="D22" t="s">
        <v>394</v>
      </c>
      <c r="E22">
        <v>22738665.318279997</v>
      </c>
      <c r="G22" t="s">
        <v>517</v>
      </c>
      <c r="H22">
        <v>14621.906666700002</v>
      </c>
    </row>
    <row r="23" spans="4:8" x14ac:dyDescent="0.25">
      <c r="D23" t="s">
        <v>392</v>
      </c>
      <c r="E23">
        <v>1863386.8080919988</v>
      </c>
      <c r="G23" t="s">
        <v>518</v>
      </c>
      <c r="H23">
        <v>6720.4400000000014</v>
      </c>
    </row>
    <row r="24" spans="4:8" x14ac:dyDescent="0.25">
      <c r="D24" t="s">
        <v>227</v>
      </c>
      <c r="E24">
        <v>686395.22418261156</v>
      </c>
      <c r="G24" t="s">
        <v>519</v>
      </c>
      <c r="H24">
        <v>85263.040999999896</v>
      </c>
    </row>
    <row r="25" spans="4:8" x14ac:dyDescent="0.25">
      <c r="D25" t="s">
        <v>389</v>
      </c>
      <c r="E25">
        <v>1458913</v>
      </c>
      <c r="G25" t="s">
        <v>520</v>
      </c>
      <c r="H25">
        <v>69657.450000000012</v>
      </c>
    </row>
    <row r="26" spans="4:8" x14ac:dyDescent="0.25">
      <c r="D26" t="s">
        <v>225</v>
      </c>
      <c r="E26">
        <v>106409.57400000018</v>
      </c>
      <c r="G26" t="s">
        <v>521</v>
      </c>
      <c r="H26">
        <v>4650.4211699999996</v>
      </c>
    </row>
    <row r="27" spans="4:8" x14ac:dyDescent="0.25">
      <c r="D27" t="s">
        <v>223</v>
      </c>
      <c r="E27">
        <v>71526.023541599949</v>
      </c>
      <c r="G27" t="s">
        <v>522</v>
      </c>
      <c r="H27">
        <v>9151.4900000000016</v>
      </c>
    </row>
    <row r="28" spans="4:8" x14ac:dyDescent="0.25">
      <c r="D28" t="s">
        <v>221</v>
      </c>
      <c r="E28">
        <v>42475.740000000005</v>
      </c>
      <c r="G28" t="s">
        <v>523</v>
      </c>
      <c r="H28">
        <v>23692.723715199998</v>
      </c>
    </row>
    <row r="29" spans="4:8" x14ac:dyDescent="0.25">
      <c r="D29" t="s">
        <v>219</v>
      </c>
      <c r="E29">
        <v>22956.489999999998</v>
      </c>
      <c r="G29" t="s">
        <v>524</v>
      </c>
      <c r="H29">
        <v>6046.45</v>
      </c>
    </row>
    <row r="30" spans="4:8" x14ac:dyDescent="0.25">
      <c r="D30" t="s">
        <v>217</v>
      </c>
      <c r="E30">
        <v>311336.13585599966</v>
      </c>
      <c r="G30" t="s">
        <v>525</v>
      </c>
      <c r="H30">
        <v>64528.023500000003</v>
      </c>
    </row>
    <row r="31" spans="4:8" x14ac:dyDescent="0.25">
      <c r="D31" t="s">
        <v>215</v>
      </c>
      <c r="E31">
        <v>688966.50431000011</v>
      </c>
      <c r="G31" t="s">
        <v>526</v>
      </c>
      <c r="H31">
        <v>1885</v>
      </c>
    </row>
    <row r="32" spans="4:8" x14ac:dyDescent="0.25">
      <c r="D32" t="s">
        <v>213</v>
      </c>
      <c r="E32">
        <v>19736.150000000005</v>
      </c>
      <c r="G32" t="s">
        <v>527</v>
      </c>
      <c r="H32">
        <v>193301.94919999997</v>
      </c>
    </row>
    <row r="33" spans="4:8" x14ac:dyDescent="0.25">
      <c r="D33" t="s">
        <v>211</v>
      </c>
      <c r="E33">
        <v>104848.8146000001</v>
      </c>
      <c r="G33" t="s">
        <v>528</v>
      </c>
      <c r="H33">
        <v>1849742.07122</v>
      </c>
    </row>
    <row r="34" spans="4:8" x14ac:dyDescent="0.25">
      <c r="D34" t="s">
        <v>209</v>
      </c>
      <c r="E34">
        <v>1530193.0423416998</v>
      </c>
      <c r="G34" t="s">
        <v>529</v>
      </c>
      <c r="H34">
        <v>16503.659800000009</v>
      </c>
    </row>
    <row r="35" spans="4:8" x14ac:dyDescent="0.25">
      <c r="D35" t="s">
        <v>207</v>
      </c>
      <c r="E35">
        <v>880811.67727090209</v>
      </c>
      <c r="G35" t="s">
        <v>530</v>
      </c>
      <c r="H35">
        <v>240510.38555150031</v>
      </c>
    </row>
    <row r="36" spans="4:8" x14ac:dyDescent="0.25">
      <c r="D36" t="s">
        <v>205</v>
      </c>
      <c r="E36">
        <v>1630741.9619098222</v>
      </c>
      <c r="G36" t="s">
        <v>531</v>
      </c>
      <c r="H36">
        <v>16643.993600000002</v>
      </c>
    </row>
    <row r="37" spans="4:8" x14ac:dyDescent="0.25">
      <c r="D37" t="s">
        <v>203</v>
      </c>
      <c r="E37">
        <v>69142.217680000002</v>
      </c>
      <c r="G37" t="s">
        <v>532</v>
      </c>
      <c r="H37">
        <v>2448032.2699999991</v>
      </c>
    </row>
    <row r="38" spans="4:8" x14ac:dyDescent="0.25">
      <c r="D38" t="s">
        <v>201</v>
      </c>
      <c r="E38">
        <v>96674.135340000008</v>
      </c>
      <c r="G38" t="s">
        <v>533</v>
      </c>
      <c r="H38">
        <v>51097.82</v>
      </c>
    </row>
    <row r="39" spans="4:8" x14ac:dyDescent="0.25">
      <c r="D39" t="s">
        <v>534</v>
      </c>
      <c r="E39">
        <v>836900.5431916035</v>
      </c>
      <c r="G39" t="s">
        <v>330</v>
      </c>
      <c r="H39">
        <v>1434975</v>
      </c>
    </row>
    <row r="40" spans="4:8" x14ac:dyDescent="0.25">
      <c r="D40" t="s">
        <v>197</v>
      </c>
      <c r="E40">
        <v>3358471.1416849615</v>
      </c>
      <c r="G40" t="s">
        <v>535</v>
      </c>
      <c r="H40">
        <v>582358</v>
      </c>
    </row>
    <row r="41" spans="4:8" x14ac:dyDescent="0.25">
      <c r="D41" t="s">
        <v>195</v>
      </c>
      <c r="E41">
        <v>67108.715407600088</v>
      </c>
      <c r="G41" t="s">
        <v>536</v>
      </c>
      <c r="H41">
        <v>725183</v>
      </c>
    </row>
    <row r="42" spans="4:8" x14ac:dyDescent="0.25">
      <c r="D42" t="s">
        <v>193</v>
      </c>
      <c r="E42">
        <v>765802.44203600229</v>
      </c>
      <c r="G42" t="s">
        <v>537</v>
      </c>
      <c r="H42">
        <v>17991.439999999962</v>
      </c>
    </row>
    <row r="43" spans="4:8" x14ac:dyDescent="0.25">
      <c r="D43" t="s">
        <v>191</v>
      </c>
      <c r="E43">
        <v>1786908.5637756013</v>
      </c>
      <c r="G43" t="s">
        <v>538</v>
      </c>
      <c r="H43">
        <v>3150.09</v>
      </c>
    </row>
    <row r="44" spans="4:8" x14ac:dyDescent="0.25">
      <c r="D44" t="s">
        <v>189</v>
      </c>
      <c r="E44">
        <v>325964.62474999978</v>
      </c>
      <c r="G44" t="s">
        <v>539</v>
      </c>
      <c r="H44">
        <v>1809460.5100000002</v>
      </c>
    </row>
    <row r="45" spans="4:8" x14ac:dyDescent="0.25">
      <c r="D45" t="s">
        <v>187</v>
      </c>
      <c r="E45">
        <v>223670.93779000014</v>
      </c>
      <c r="G45" t="s">
        <v>540</v>
      </c>
      <c r="H45">
        <v>41683.936900000022</v>
      </c>
    </row>
    <row r="46" spans="4:8" x14ac:dyDescent="0.25">
      <c r="D46" t="s">
        <v>185</v>
      </c>
      <c r="E46">
        <v>1264920.4521532981</v>
      </c>
      <c r="G46" t="s">
        <v>541</v>
      </c>
      <c r="H46">
        <v>7647.6699800000006</v>
      </c>
    </row>
    <row r="47" spans="4:8" x14ac:dyDescent="0.25">
      <c r="D47" t="s">
        <v>449</v>
      </c>
      <c r="E47">
        <v>3672123.0467261993</v>
      </c>
      <c r="G47" t="s">
        <v>542</v>
      </c>
      <c r="H47">
        <v>32783.802600000003</v>
      </c>
    </row>
    <row r="48" spans="4:8" x14ac:dyDescent="0.25">
      <c r="D48" t="s">
        <v>446</v>
      </c>
      <c r="E48">
        <v>3050275.2534667016</v>
      </c>
      <c r="G48" t="s">
        <v>543</v>
      </c>
      <c r="H48">
        <v>42410.399999999987</v>
      </c>
    </row>
    <row r="49" spans="4:8" x14ac:dyDescent="0.25">
      <c r="D49" t="s">
        <v>183</v>
      </c>
      <c r="E49">
        <v>125216.19412229993</v>
      </c>
      <c r="G49" t="s">
        <v>544</v>
      </c>
      <c r="H49">
        <v>1080907.8199999998</v>
      </c>
    </row>
    <row r="50" spans="4:8" x14ac:dyDescent="0.25">
      <c r="D50" t="s">
        <v>123</v>
      </c>
      <c r="E50">
        <v>6669491.7807890065</v>
      </c>
      <c r="G50" t="s">
        <v>545</v>
      </c>
      <c r="H50">
        <v>17890.649999999994</v>
      </c>
    </row>
    <row r="51" spans="4:8" x14ac:dyDescent="0.25">
      <c r="D51" t="s">
        <v>181</v>
      </c>
      <c r="E51">
        <v>1261693.9341206963</v>
      </c>
      <c r="G51" t="s">
        <v>546</v>
      </c>
      <c r="H51">
        <v>98990.510300000053</v>
      </c>
    </row>
    <row r="52" spans="4:8" x14ac:dyDescent="0.25">
      <c r="D52" t="s">
        <v>387</v>
      </c>
      <c r="E52">
        <v>308950.53529999999</v>
      </c>
      <c r="G52" t="s">
        <v>547</v>
      </c>
      <c r="H52">
        <v>64894.581000000013</v>
      </c>
    </row>
    <row r="53" spans="4:8" x14ac:dyDescent="0.25">
      <c r="D53" t="s">
        <v>179</v>
      </c>
      <c r="E53">
        <v>293361.55999999971</v>
      </c>
      <c r="G53" t="s">
        <v>548</v>
      </c>
      <c r="H53">
        <v>220030.774</v>
      </c>
    </row>
    <row r="54" spans="4:8" x14ac:dyDescent="0.25">
      <c r="D54" t="s">
        <v>121</v>
      </c>
      <c r="E54">
        <v>33544.272000000004</v>
      </c>
      <c r="G54" t="s">
        <v>549</v>
      </c>
      <c r="H54">
        <v>17095.726260000003</v>
      </c>
    </row>
    <row r="55" spans="4:8" x14ac:dyDescent="0.25">
      <c r="D55" t="s">
        <v>177</v>
      </c>
      <c r="E55">
        <v>482175.96999999991</v>
      </c>
      <c r="G55" t="s">
        <v>550</v>
      </c>
      <c r="H55">
        <v>29027.81</v>
      </c>
    </row>
    <row r="56" spans="4:8" x14ac:dyDescent="0.25">
      <c r="D56" t="s">
        <v>175</v>
      </c>
      <c r="E56">
        <v>268933.18414999964</v>
      </c>
      <c r="G56" t="s">
        <v>551</v>
      </c>
      <c r="H56">
        <v>60544.159</v>
      </c>
    </row>
    <row r="57" spans="4:8" x14ac:dyDescent="0.25">
      <c r="D57" t="s">
        <v>383</v>
      </c>
      <c r="E57">
        <v>3884875.59</v>
      </c>
      <c r="G57" t="s">
        <v>552</v>
      </c>
      <c r="H57">
        <v>1498098.1099999999</v>
      </c>
    </row>
    <row r="58" spans="4:8" x14ac:dyDescent="0.25">
      <c r="D58" t="s">
        <v>173</v>
      </c>
      <c r="E58">
        <v>672517.76112000132</v>
      </c>
      <c r="G58" t="s">
        <v>553</v>
      </c>
      <c r="H58">
        <v>949120.27</v>
      </c>
    </row>
    <row r="59" spans="4:8" x14ac:dyDescent="0.25">
      <c r="D59" t="s">
        <v>171</v>
      </c>
      <c r="E59">
        <v>107828.27289999982</v>
      </c>
      <c r="G59" t="s">
        <v>554</v>
      </c>
      <c r="H59">
        <v>163096.33000000002</v>
      </c>
    </row>
    <row r="60" spans="4:8" x14ac:dyDescent="0.25">
      <c r="D60" t="s">
        <v>169</v>
      </c>
      <c r="E60">
        <v>10541.515879999999</v>
      </c>
      <c r="G60" t="s">
        <v>555</v>
      </c>
      <c r="H60">
        <v>24511.479999999996</v>
      </c>
    </row>
    <row r="61" spans="4:8" x14ac:dyDescent="0.25">
      <c r="D61" t="s">
        <v>167</v>
      </c>
      <c r="E61">
        <v>569802.22083409911</v>
      </c>
      <c r="G61" t="s">
        <v>556</v>
      </c>
      <c r="H61">
        <v>4720.0222599999997</v>
      </c>
    </row>
    <row r="62" spans="4:8" x14ac:dyDescent="0.25">
      <c r="D62" t="s">
        <v>115</v>
      </c>
      <c r="E62">
        <v>644800.64966000023</v>
      </c>
      <c r="G62" t="s">
        <v>557</v>
      </c>
      <c r="H62">
        <v>173697.13010419987</v>
      </c>
    </row>
    <row r="63" spans="4:8" x14ac:dyDescent="0.25">
      <c r="D63" t="s">
        <v>165</v>
      </c>
      <c r="E63">
        <v>988253.78899259958</v>
      </c>
      <c r="G63" t="s">
        <v>558</v>
      </c>
      <c r="H63">
        <v>62392.028597600001</v>
      </c>
    </row>
    <row r="64" spans="4:8" x14ac:dyDescent="0.25">
      <c r="D64" t="s">
        <v>110</v>
      </c>
      <c r="E64">
        <v>1444858.2099999997</v>
      </c>
      <c r="G64" t="s">
        <v>559</v>
      </c>
      <c r="H64">
        <v>100</v>
      </c>
    </row>
    <row r="65" spans="4:8" x14ac:dyDescent="0.25">
      <c r="D65" t="s">
        <v>101</v>
      </c>
      <c r="E65">
        <v>4680483.9300000025</v>
      </c>
      <c r="G65" t="s">
        <v>560</v>
      </c>
      <c r="H65">
        <v>34829.109959999994</v>
      </c>
    </row>
    <row r="66" spans="4:8" x14ac:dyDescent="0.25">
      <c r="D66" t="s">
        <v>92</v>
      </c>
      <c r="E66">
        <v>3669827.7147800005</v>
      </c>
      <c r="G66" t="s">
        <v>561</v>
      </c>
      <c r="H66">
        <v>1313.7440000000001</v>
      </c>
    </row>
    <row r="67" spans="4:8" x14ac:dyDescent="0.25">
      <c r="D67" t="s">
        <v>163</v>
      </c>
      <c r="E67">
        <v>64759.040599</v>
      </c>
      <c r="G67" t="s">
        <v>562</v>
      </c>
      <c r="H67">
        <v>36444.558700000001</v>
      </c>
    </row>
    <row r="68" spans="4:8" x14ac:dyDescent="0.25">
      <c r="D68" t="s">
        <v>161</v>
      </c>
      <c r="E68">
        <v>231149.50221010152</v>
      </c>
      <c r="G68" t="s">
        <v>563</v>
      </c>
      <c r="H68">
        <v>27137.317392000041</v>
      </c>
    </row>
    <row r="69" spans="4:8" x14ac:dyDescent="0.25">
      <c r="D69" t="s">
        <v>152</v>
      </c>
      <c r="E69">
        <v>737626.14357479871</v>
      </c>
      <c r="G69" t="s">
        <v>564</v>
      </c>
      <c r="H69">
        <v>3351.9599999999991</v>
      </c>
    </row>
    <row r="70" spans="4:8" x14ac:dyDescent="0.25">
      <c r="D70" t="s">
        <v>150</v>
      </c>
      <c r="E70">
        <v>243296.95529999971</v>
      </c>
      <c r="G70" t="s">
        <v>565</v>
      </c>
      <c r="H70">
        <v>20900.199999999997</v>
      </c>
    </row>
    <row r="71" spans="4:8" x14ac:dyDescent="0.25">
      <c r="D71" t="s">
        <v>147</v>
      </c>
      <c r="E71">
        <v>140358.73622180027</v>
      </c>
      <c r="G71" t="s">
        <v>566</v>
      </c>
      <c r="H71">
        <v>23377.36199999999</v>
      </c>
    </row>
    <row r="72" spans="4:8" x14ac:dyDescent="0.25">
      <c r="D72" t="s">
        <v>84</v>
      </c>
      <c r="E72">
        <v>14733.854000000003</v>
      </c>
      <c r="G72" t="s">
        <v>567</v>
      </c>
      <c r="H72">
        <v>1335.7000000000007</v>
      </c>
    </row>
    <row r="73" spans="4:8" x14ac:dyDescent="0.25">
      <c r="D73" t="s">
        <v>442</v>
      </c>
      <c r="E73">
        <v>510244.7368998999</v>
      </c>
      <c r="G73" t="s">
        <v>568</v>
      </c>
      <c r="H73">
        <v>3358.33</v>
      </c>
    </row>
    <row r="74" spans="4:8" x14ac:dyDescent="0.25">
      <c r="D74" t="s">
        <v>381</v>
      </c>
      <c r="E74">
        <v>359517.19836899999</v>
      </c>
      <c r="G74" t="s">
        <v>569</v>
      </c>
      <c r="H74">
        <v>417720.56663470133</v>
      </c>
    </row>
    <row r="75" spans="4:8" x14ac:dyDescent="0.25">
      <c r="D75" t="s">
        <v>570</v>
      </c>
      <c r="E75">
        <v>193301.94919999997</v>
      </c>
      <c r="G75" t="s">
        <v>571</v>
      </c>
      <c r="H75">
        <v>92249.853150000039</v>
      </c>
    </row>
    <row r="76" spans="4:8" x14ac:dyDescent="0.25">
      <c r="D76" t="s">
        <v>375</v>
      </c>
      <c r="E76">
        <v>220030.774</v>
      </c>
      <c r="G76" t="s">
        <v>572</v>
      </c>
      <c r="H76">
        <v>1834.2739999999999</v>
      </c>
    </row>
    <row r="77" spans="4:8" x14ac:dyDescent="0.25">
      <c r="D77" t="s">
        <v>373</v>
      </c>
      <c r="E77">
        <v>46920</v>
      </c>
      <c r="G77" t="s">
        <v>573</v>
      </c>
      <c r="H77">
        <v>99077.570000000051</v>
      </c>
    </row>
    <row r="78" spans="4:8" x14ac:dyDescent="0.25">
      <c r="D78" t="s">
        <v>369</v>
      </c>
      <c r="E78">
        <v>1567410.0892999999</v>
      </c>
      <c r="G78" t="s">
        <v>574</v>
      </c>
      <c r="H78">
        <v>414.88</v>
      </c>
    </row>
    <row r="79" spans="4:8" x14ac:dyDescent="0.25">
      <c r="D79" t="s">
        <v>365</v>
      </c>
      <c r="E79">
        <v>277988.37</v>
      </c>
      <c r="G79" t="s">
        <v>575</v>
      </c>
      <c r="H79">
        <v>22220.38</v>
      </c>
    </row>
    <row r="80" spans="4:8" x14ac:dyDescent="0.25">
      <c r="D80" t="s">
        <v>363</v>
      </c>
      <c r="E80">
        <v>192596.61999999994</v>
      </c>
      <c r="G80" t="s">
        <v>576</v>
      </c>
      <c r="H80">
        <v>213678.25</v>
      </c>
    </row>
    <row r="81" spans="4:8" x14ac:dyDescent="0.25">
      <c r="D81" t="s">
        <v>356</v>
      </c>
      <c r="E81">
        <v>1868916.5308799993</v>
      </c>
      <c r="G81" t="s">
        <v>577</v>
      </c>
      <c r="H81">
        <v>5145.8999999999996</v>
      </c>
    </row>
    <row r="82" spans="4:8" x14ac:dyDescent="0.25">
      <c r="D82" t="s">
        <v>578</v>
      </c>
      <c r="E82">
        <v>61300</v>
      </c>
      <c r="G82" t="s">
        <v>579</v>
      </c>
      <c r="H82">
        <v>88602.69279999999</v>
      </c>
    </row>
    <row r="83" spans="4:8" x14ac:dyDescent="0.25">
      <c r="D83" t="s">
        <v>351</v>
      </c>
      <c r="E83">
        <v>881718.28656069888</v>
      </c>
      <c r="G83" t="s">
        <v>580</v>
      </c>
      <c r="H83">
        <v>119527.1550175001</v>
      </c>
    </row>
    <row r="84" spans="4:8" x14ac:dyDescent="0.25">
      <c r="D84" t="s">
        <v>349</v>
      </c>
      <c r="E84">
        <v>3549327.196691093</v>
      </c>
      <c r="G84" t="s">
        <v>581</v>
      </c>
      <c r="H84">
        <v>2050773</v>
      </c>
    </row>
    <row r="85" spans="4:8" x14ac:dyDescent="0.25">
      <c r="D85" t="s">
        <v>347</v>
      </c>
      <c r="E85">
        <v>556677.90060000028</v>
      </c>
      <c r="G85" t="s">
        <v>582</v>
      </c>
      <c r="H85">
        <v>707.42000000000007</v>
      </c>
    </row>
    <row r="86" spans="4:8" x14ac:dyDescent="0.25">
      <c r="D86" t="s">
        <v>345</v>
      </c>
      <c r="E86">
        <v>1134086.9758443998</v>
      </c>
      <c r="G86" t="s">
        <v>583</v>
      </c>
      <c r="H86">
        <v>6302.2199999999993</v>
      </c>
    </row>
    <row r="87" spans="4:8" x14ac:dyDescent="0.25">
      <c r="D87" t="s">
        <v>343</v>
      </c>
      <c r="E87">
        <v>251001.17033330016</v>
      </c>
      <c r="G87" t="s">
        <v>584</v>
      </c>
      <c r="H87">
        <v>257352.37000000002</v>
      </c>
    </row>
    <row r="88" spans="4:8" x14ac:dyDescent="0.25">
      <c r="D88" t="s">
        <v>585</v>
      </c>
      <c r="E88">
        <v>41683.936900000022</v>
      </c>
      <c r="G88" t="s">
        <v>586</v>
      </c>
      <c r="H88">
        <v>39620.232499999955</v>
      </c>
    </row>
    <row r="89" spans="4:8" x14ac:dyDescent="0.25">
      <c r="D89" t="s">
        <v>336</v>
      </c>
      <c r="E89">
        <v>436010.45859999978</v>
      </c>
      <c r="G89" t="s">
        <v>587</v>
      </c>
      <c r="H89">
        <v>9282509.9227999989</v>
      </c>
    </row>
    <row r="90" spans="4:8" x14ac:dyDescent="0.25">
      <c r="D90" t="s">
        <v>333</v>
      </c>
      <c r="E90">
        <v>742562.57110000064</v>
      </c>
      <c r="G90" t="s">
        <v>588</v>
      </c>
      <c r="H90">
        <v>7325.8100000000013</v>
      </c>
    </row>
    <row r="91" spans="4:8" x14ac:dyDescent="0.25">
      <c r="D91" t="s">
        <v>466</v>
      </c>
      <c r="E91">
        <v>28012733.980757285</v>
      </c>
      <c r="G91" t="s">
        <v>589</v>
      </c>
      <c r="H91">
        <v>42910.360000000015</v>
      </c>
    </row>
    <row r="92" spans="4:8" x14ac:dyDescent="0.25">
      <c r="D92" t="s">
        <v>327</v>
      </c>
      <c r="E92">
        <v>311064.02169999998</v>
      </c>
      <c r="G92" t="s">
        <v>590</v>
      </c>
      <c r="H92">
        <v>106486.95412669997</v>
      </c>
    </row>
    <row r="93" spans="4:8" x14ac:dyDescent="0.25">
      <c r="D93" t="s">
        <v>324</v>
      </c>
      <c r="E93">
        <v>534870.98004800011</v>
      </c>
      <c r="G93" t="s">
        <v>591</v>
      </c>
      <c r="H93">
        <v>2953613.84</v>
      </c>
    </row>
    <row r="94" spans="4:8" x14ac:dyDescent="0.25">
      <c r="D94" t="s">
        <v>318</v>
      </c>
      <c r="E94">
        <v>432573.29430000007</v>
      </c>
      <c r="G94" t="s">
        <v>592</v>
      </c>
      <c r="H94">
        <v>20942.515200000002</v>
      </c>
    </row>
    <row r="95" spans="4:8" x14ac:dyDescent="0.25">
      <c r="D95" t="s">
        <v>316</v>
      </c>
      <c r="E95">
        <v>42410.399999999987</v>
      </c>
      <c r="G95" t="s">
        <v>593</v>
      </c>
      <c r="H95">
        <v>159668.85728989978</v>
      </c>
    </row>
    <row r="96" spans="4:8" x14ac:dyDescent="0.25">
      <c r="D96" t="s">
        <v>312</v>
      </c>
      <c r="E96">
        <v>60143.329999999994</v>
      </c>
      <c r="G96" t="s">
        <v>594</v>
      </c>
      <c r="H96">
        <v>8515.99</v>
      </c>
    </row>
    <row r="97" spans="4:8" x14ac:dyDescent="0.25">
      <c r="D97" t="s">
        <v>292</v>
      </c>
      <c r="E97">
        <v>611248.51000000036</v>
      </c>
      <c r="G97" t="s">
        <v>595</v>
      </c>
      <c r="H97">
        <v>43203.089999999975</v>
      </c>
    </row>
    <row r="98" spans="4:8" x14ac:dyDescent="0.25">
      <c r="D98" t="s">
        <v>308</v>
      </c>
      <c r="E98">
        <v>45727.119999999995</v>
      </c>
      <c r="G98" t="s">
        <v>596</v>
      </c>
      <c r="H98">
        <v>4669.0390784000001</v>
      </c>
    </row>
    <row r="99" spans="4:8" x14ac:dyDescent="0.25">
      <c r="D99" t="s">
        <v>305</v>
      </c>
      <c r="E99">
        <v>358847.38000460004</v>
      </c>
      <c r="G99" t="s">
        <v>597</v>
      </c>
      <c r="H99">
        <v>50329.98</v>
      </c>
    </row>
    <row r="100" spans="4:8" x14ac:dyDescent="0.25">
      <c r="D100" t="s">
        <v>414</v>
      </c>
      <c r="E100">
        <v>198482.94</v>
      </c>
      <c r="G100" t="s">
        <v>598</v>
      </c>
      <c r="H100">
        <v>440442.24</v>
      </c>
    </row>
    <row r="101" spans="4:8" x14ac:dyDescent="0.25">
      <c r="D101" t="s">
        <v>599</v>
      </c>
      <c r="E101">
        <v>752230.15757999977</v>
      </c>
      <c r="G101" t="s">
        <v>600</v>
      </c>
      <c r="H101">
        <v>26144.589996600007</v>
      </c>
    </row>
    <row r="102" spans="4:8" x14ac:dyDescent="0.25">
      <c r="D102" t="s">
        <v>298</v>
      </c>
      <c r="E102">
        <v>16209548.726916593</v>
      </c>
      <c r="G102" t="s">
        <v>601</v>
      </c>
      <c r="H102">
        <v>25744.762021399987</v>
      </c>
    </row>
    <row r="103" spans="4:8" x14ac:dyDescent="0.25">
      <c r="D103" t="s">
        <v>290</v>
      </c>
      <c r="E103">
        <v>3821447.1430664021</v>
      </c>
      <c r="G103" t="s">
        <v>602</v>
      </c>
      <c r="H103">
        <v>2713.36</v>
      </c>
    </row>
    <row r="104" spans="4:8" x14ac:dyDescent="0.25">
      <c r="D104" t="s">
        <v>437</v>
      </c>
      <c r="E104">
        <v>2236126.7082960005</v>
      </c>
      <c r="G104" t="s">
        <v>603</v>
      </c>
      <c r="H104">
        <v>93065.382000000012</v>
      </c>
    </row>
    <row r="105" spans="4:8" x14ac:dyDescent="0.25">
      <c r="D105" t="s">
        <v>287</v>
      </c>
      <c r="E105">
        <v>9206905.6544844974</v>
      </c>
      <c r="G105" t="s">
        <v>604</v>
      </c>
      <c r="H105">
        <v>9412.4600000000028</v>
      </c>
    </row>
    <row r="106" spans="4:8" x14ac:dyDescent="0.25">
      <c r="D106" t="s">
        <v>285</v>
      </c>
      <c r="E106">
        <v>12094134.328999998</v>
      </c>
      <c r="G106" t="s">
        <v>605</v>
      </c>
      <c r="H106">
        <v>3454.1099999999992</v>
      </c>
    </row>
    <row r="107" spans="4:8" x14ac:dyDescent="0.25">
      <c r="D107" t="s">
        <v>76</v>
      </c>
      <c r="E107">
        <v>1352188</v>
      </c>
      <c r="G107" t="s">
        <v>606</v>
      </c>
      <c r="H107">
        <v>37750</v>
      </c>
    </row>
    <row r="108" spans="4:8" x14ac:dyDescent="0.25">
      <c r="D108" t="s">
        <v>279</v>
      </c>
      <c r="E108">
        <v>188539.66349999988</v>
      </c>
      <c r="G108" t="s">
        <v>352</v>
      </c>
      <c r="H108">
        <v>368131.98656070011</v>
      </c>
    </row>
    <row r="109" spans="4:8" x14ac:dyDescent="0.25">
      <c r="D109" t="s">
        <v>68</v>
      </c>
      <c r="E109">
        <v>453499.82000000007</v>
      </c>
      <c r="G109" t="s">
        <v>607</v>
      </c>
      <c r="H109">
        <v>589855</v>
      </c>
    </row>
    <row r="110" spans="4:8" x14ac:dyDescent="0.25">
      <c r="D110" t="s">
        <v>274</v>
      </c>
      <c r="E110">
        <v>216296.95849999989</v>
      </c>
      <c r="G110" t="s">
        <v>608</v>
      </c>
      <c r="H110">
        <v>454270.36930000002</v>
      </c>
    </row>
    <row r="111" spans="4:8" x14ac:dyDescent="0.25">
      <c r="D111" t="s">
        <v>269</v>
      </c>
      <c r="E111">
        <v>110869.658</v>
      </c>
      <c r="G111" t="s">
        <v>609</v>
      </c>
      <c r="H111">
        <v>19720.86000000003</v>
      </c>
    </row>
    <row r="112" spans="4:8" x14ac:dyDescent="0.25">
      <c r="D112" t="s">
        <v>267</v>
      </c>
      <c r="E112">
        <v>4820.5699999999961</v>
      </c>
      <c r="G112" t="s">
        <v>610</v>
      </c>
      <c r="H112">
        <v>50531.199000000059</v>
      </c>
    </row>
    <row r="113" spans="4:8" x14ac:dyDescent="0.25">
      <c r="D113" t="s">
        <v>261</v>
      </c>
      <c r="E113">
        <v>2485257.0099999998</v>
      </c>
      <c r="G113" t="s">
        <v>611</v>
      </c>
      <c r="H113">
        <v>15704.480000000001</v>
      </c>
    </row>
    <row r="114" spans="4:8" x14ac:dyDescent="0.25">
      <c r="D114" t="s">
        <v>252</v>
      </c>
      <c r="E114">
        <v>3183562.1910099988</v>
      </c>
      <c r="G114" t="s">
        <v>612</v>
      </c>
      <c r="H114">
        <v>4038.08</v>
      </c>
    </row>
    <row r="115" spans="4:8" x14ac:dyDescent="0.25">
      <c r="D115" t="s">
        <v>249</v>
      </c>
      <c r="E115">
        <v>185698.74550000011</v>
      </c>
      <c r="G115" t="s">
        <v>613</v>
      </c>
      <c r="H115">
        <v>21058.139999999992</v>
      </c>
    </row>
    <row r="116" spans="4:8" x14ac:dyDescent="0.25">
      <c r="D116" t="s">
        <v>144</v>
      </c>
      <c r="E116">
        <v>240834.84211520004</v>
      </c>
      <c r="G116" t="s">
        <v>614</v>
      </c>
      <c r="H116">
        <v>60642.793521599924</v>
      </c>
    </row>
    <row r="117" spans="4:8" x14ac:dyDescent="0.25">
      <c r="D117" t="s">
        <v>431</v>
      </c>
      <c r="E117">
        <v>5135184.9671983989</v>
      </c>
      <c r="G117" t="s">
        <v>615</v>
      </c>
      <c r="H117">
        <v>30359.109999999997</v>
      </c>
    </row>
    <row r="118" spans="4:8" x14ac:dyDescent="0.25">
      <c r="D118" t="s">
        <v>47</v>
      </c>
      <c r="E118">
        <v>1827129.1124666997</v>
      </c>
      <c r="G118" t="s">
        <v>616</v>
      </c>
      <c r="H118">
        <v>316852.65876540111</v>
      </c>
    </row>
    <row r="119" spans="4:8" x14ac:dyDescent="0.25">
      <c r="D119" t="s">
        <v>424</v>
      </c>
      <c r="E119">
        <v>23752979.824466705</v>
      </c>
      <c r="G119" t="s">
        <v>617</v>
      </c>
      <c r="H119">
        <v>15938.124</v>
      </c>
    </row>
    <row r="120" spans="4:8" x14ac:dyDescent="0.25">
      <c r="D120" t="s">
        <v>245</v>
      </c>
      <c r="E120">
        <v>94690.524000000005</v>
      </c>
      <c r="G120" t="s">
        <v>618</v>
      </c>
      <c r="H120">
        <v>194961.01100000006</v>
      </c>
    </row>
    <row r="121" spans="4:8" x14ac:dyDescent="0.25">
      <c r="D121" t="s">
        <v>242</v>
      </c>
      <c r="E121">
        <v>7436729.4048456131</v>
      </c>
      <c r="G121" t="s">
        <v>619</v>
      </c>
      <c r="H121">
        <v>7136.6100000000015</v>
      </c>
    </row>
    <row r="122" spans="4:8" x14ac:dyDescent="0.25">
      <c r="D122" t="s">
        <v>502</v>
      </c>
      <c r="E122">
        <v>228919443.24150953</v>
      </c>
      <c r="G122" t="s">
        <v>620</v>
      </c>
      <c r="H122">
        <v>240772.54099999976</v>
      </c>
    </row>
    <row r="123" spans="4:8" x14ac:dyDescent="0.25">
      <c r="G123" t="s">
        <v>621</v>
      </c>
      <c r="H123">
        <v>120879.24999999971</v>
      </c>
    </row>
    <row r="124" spans="4:8" x14ac:dyDescent="0.25">
      <c r="G124" t="s">
        <v>622</v>
      </c>
      <c r="H124">
        <v>6323.7235039999941</v>
      </c>
    </row>
    <row r="125" spans="4:8" x14ac:dyDescent="0.25">
      <c r="G125" t="s">
        <v>623</v>
      </c>
      <c r="H125">
        <v>26400.350000000002</v>
      </c>
    </row>
    <row r="126" spans="4:8" x14ac:dyDescent="0.25">
      <c r="G126" t="s">
        <v>624</v>
      </c>
      <c r="H126">
        <v>18192.579000000002</v>
      </c>
    </row>
    <row r="127" spans="4:8" x14ac:dyDescent="0.25">
      <c r="G127" t="s">
        <v>625</v>
      </c>
      <c r="H127">
        <v>110845.07100000019</v>
      </c>
    </row>
    <row r="128" spans="4:8" x14ac:dyDescent="0.25">
      <c r="G128" t="s">
        <v>626</v>
      </c>
      <c r="H128">
        <v>75398.809999999954</v>
      </c>
    </row>
    <row r="129" spans="7:8" x14ac:dyDescent="0.25">
      <c r="G129" t="s">
        <v>627</v>
      </c>
      <c r="H129">
        <v>230011.79590000011</v>
      </c>
    </row>
    <row r="130" spans="7:8" x14ac:dyDescent="0.25">
      <c r="G130" t="s">
        <v>628</v>
      </c>
      <c r="H130">
        <v>29838.210000000017</v>
      </c>
    </row>
    <row r="131" spans="7:8" x14ac:dyDescent="0.25">
      <c r="G131" t="s">
        <v>629</v>
      </c>
      <c r="H131">
        <v>4817</v>
      </c>
    </row>
    <row r="132" spans="7:8" x14ac:dyDescent="0.25">
      <c r="G132" t="s">
        <v>630</v>
      </c>
      <c r="H132">
        <v>19058.370000000006</v>
      </c>
    </row>
    <row r="133" spans="7:8" x14ac:dyDescent="0.25">
      <c r="G133" t="s">
        <v>631</v>
      </c>
      <c r="H133">
        <v>7194.11</v>
      </c>
    </row>
    <row r="134" spans="7:8" x14ac:dyDescent="0.25">
      <c r="G134" t="s">
        <v>632</v>
      </c>
      <c r="H134">
        <v>16158.314000000004</v>
      </c>
    </row>
    <row r="135" spans="7:8" x14ac:dyDescent="0.25">
      <c r="G135" t="s">
        <v>633</v>
      </c>
      <c r="H135">
        <v>33407.123400000004</v>
      </c>
    </row>
    <row r="136" spans="7:8" x14ac:dyDescent="0.25">
      <c r="G136" t="s">
        <v>634</v>
      </c>
      <c r="H136">
        <v>828</v>
      </c>
    </row>
    <row r="137" spans="7:8" x14ac:dyDescent="0.25">
      <c r="G137" t="s">
        <v>635</v>
      </c>
      <c r="H137">
        <v>288.63</v>
      </c>
    </row>
    <row r="138" spans="7:8" x14ac:dyDescent="0.25">
      <c r="G138" t="s">
        <v>636</v>
      </c>
      <c r="H138">
        <v>47227.374499999998</v>
      </c>
    </row>
    <row r="139" spans="7:8" x14ac:dyDescent="0.25">
      <c r="G139" t="s">
        <v>637</v>
      </c>
      <c r="H139">
        <v>6056.3299999999954</v>
      </c>
    </row>
    <row r="140" spans="7:8" x14ac:dyDescent="0.25">
      <c r="G140" t="s">
        <v>638</v>
      </c>
      <c r="H140">
        <v>2304.0100000000002</v>
      </c>
    </row>
    <row r="141" spans="7:8" x14ac:dyDescent="0.25">
      <c r="G141" t="s">
        <v>639</v>
      </c>
      <c r="H141">
        <v>277988.37</v>
      </c>
    </row>
    <row r="142" spans="7:8" x14ac:dyDescent="0.25">
      <c r="G142" t="s">
        <v>640</v>
      </c>
      <c r="H142">
        <v>1197987.5156780004</v>
      </c>
    </row>
    <row r="143" spans="7:8" x14ac:dyDescent="0.25">
      <c r="G143" t="s">
        <v>641</v>
      </c>
      <c r="H143">
        <v>628086.90717770008</v>
      </c>
    </row>
    <row r="144" spans="7:8" x14ac:dyDescent="0.25">
      <c r="G144" t="s">
        <v>642</v>
      </c>
      <c r="H144">
        <v>24929.579999999991</v>
      </c>
    </row>
    <row r="145" spans="7:8" x14ac:dyDescent="0.25">
      <c r="G145" t="s">
        <v>643</v>
      </c>
      <c r="H145">
        <v>890.01</v>
      </c>
    </row>
    <row r="146" spans="7:8" x14ac:dyDescent="0.25">
      <c r="G146" t="s">
        <v>644</v>
      </c>
      <c r="H146">
        <v>3011962.8132800004</v>
      </c>
    </row>
    <row r="147" spans="7:8" x14ac:dyDescent="0.25">
      <c r="G147" t="s">
        <v>645</v>
      </c>
      <c r="H147">
        <v>2478015.6100000003</v>
      </c>
    </row>
    <row r="148" spans="7:8" x14ac:dyDescent="0.25">
      <c r="G148" t="s">
        <v>646</v>
      </c>
      <c r="H148">
        <v>14157258.464999998</v>
      </c>
    </row>
    <row r="149" spans="7:8" x14ac:dyDescent="0.25">
      <c r="G149" t="s">
        <v>647</v>
      </c>
      <c r="H149">
        <v>3247450.6694890023</v>
      </c>
    </row>
    <row r="150" spans="7:8" x14ac:dyDescent="0.25">
      <c r="G150" t="s">
        <v>648</v>
      </c>
      <c r="H150">
        <v>84119.48</v>
      </c>
    </row>
    <row r="151" spans="7:8" x14ac:dyDescent="0.25">
      <c r="G151" t="s">
        <v>649</v>
      </c>
      <c r="H151">
        <v>247076.46802960013</v>
      </c>
    </row>
    <row r="152" spans="7:8" x14ac:dyDescent="0.25">
      <c r="G152" t="s">
        <v>650</v>
      </c>
      <c r="H152">
        <v>119510.62000000004</v>
      </c>
    </row>
    <row r="153" spans="7:8" x14ac:dyDescent="0.25">
      <c r="G153" t="s">
        <v>651</v>
      </c>
      <c r="H153">
        <v>24495129.639241997</v>
      </c>
    </row>
    <row r="154" spans="7:8" x14ac:dyDescent="0.25">
      <c r="G154" t="s">
        <v>652</v>
      </c>
      <c r="H154">
        <v>123482.27497999991</v>
      </c>
    </row>
    <row r="155" spans="7:8" x14ac:dyDescent="0.25">
      <c r="G155" t="s">
        <v>653</v>
      </c>
      <c r="H155">
        <v>272327.68200000009</v>
      </c>
    </row>
    <row r="156" spans="7:8" x14ac:dyDescent="0.25">
      <c r="G156" t="s">
        <v>654</v>
      </c>
      <c r="H156">
        <v>97768.840129499906</v>
      </c>
    </row>
    <row r="157" spans="7:8" x14ac:dyDescent="0.25">
      <c r="G157" t="s">
        <v>655</v>
      </c>
      <c r="H157">
        <v>2324113.8850099989</v>
      </c>
    </row>
    <row r="158" spans="7:8" x14ac:dyDescent="0.25">
      <c r="G158" t="s">
        <v>229</v>
      </c>
      <c r="H158">
        <v>180858.95000000004</v>
      </c>
    </row>
    <row r="159" spans="7:8" x14ac:dyDescent="0.25">
      <c r="G159" t="s">
        <v>656</v>
      </c>
      <c r="H159">
        <v>113163.10670109995</v>
      </c>
    </row>
    <row r="160" spans="7:8" x14ac:dyDescent="0.25">
      <c r="G160" t="s">
        <v>657</v>
      </c>
      <c r="H160">
        <v>34701.329999999994</v>
      </c>
    </row>
    <row r="161" spans="7:8" x14ac:dyDescent="0.25">
      <c r="G161" t="s">
        <v>658</v>
      </c>
      <c r="H161">
        <v>7025.81</v>
      </c>
    </row>
    <row r="162" spans="7:8" x14ac:dyDescent="0.25">
      <c r="G162" t="s">
        <v>659</v>
      </c>
      <c r="H162">
        <v>10727.049999999997</v>
      </c>
    </row>
    <row r="163" spans="7:8" x14ac:dyDescent="0.25">
      <c r="G163" t="s">
        <v>392</v>
      </c>
      <c r="H163">
        <v>1863386.8080919988</v>
      </c>
    </row>
    <row r="164" spans="7:8" x14ac:dyDescent="0.25">
      <c r="G164" t="s">
        <v>660</v>
      </c>
      <c r="H164">
        <v>819.90000000000009</v>
      </c>
    </row>
    <row r="165" spans="7:8" x14ac:dyDescent="0.25">
      <c r="G165" t="s">
        <v>661</v>
      </c>
      <c r="H165">
        <v>223706.57700000005</v>
      </c>
    </row>
    <row r="166" spans="7:8" x14ac:dyDescent="0.25">
      <c r="G166" t="s">
        <v>662</v>
      </c>
      <c r="H166">
        <v>398297.78700000036</v>
      </c>
    </row>
    <row r="167" spans="7:8" x14ac:dyDescent="0.25">
      <c r="G167" t="s">
        <v>663</v>
      </c>
      <c r="H167">
        <v>55408.01</v>
      </c>
    </row>
    <row r="168" spans="7:8" x14ac:dyDescent="0.25">
      <c r="G168" t="s">
        <v>664</v>
      </c>
      <c r="H168">
        <v>87971.17</v>
      </c>
    </row>
    <row r="169" spans="7:8" x14ac:dyDescent="0.25">
      <c r="G169" t="s">
        <v>665</v>
      </c>
      <c r="H169">
        <v>54699.737199999996</v>
      </c>
    </row>
    <row r="170" spans="7:8" x14ac:dyDescent="0.25">
      <c r="G170" t="s">
        <v>666</v>
      </c>
      <c r="H170">
        <v>316074.64499999984</v>
      </c>
    </row>
    <row r="171" spans="7:8" x14ac:dyDescent="0.25">
      <c r="G171" t="s">
        <v>667</v>
      </c>
      <c r="H171">
        <v>124832.72600000001</v>
      </c>
    </row>
    <row r="172" spans="7:8" x14ac:dyDescent="0.25">
      <c r="G172" t="s">
        <v>668</v>
      </c>
      <c r="H172">
        <v>95722.680000000022</v>
      </c>
    </row>
    <row r="173" spans="7:8" x14ac:dyDescent="0.25">
      <c r="G173" t="s">
        <v>669</v>
      </c>
      <c r="H173">
        <v>19816.290000000005</v>
      </c>
    </row>
    <row r="174" spans="7:8" x14ac:dyDescent="0.25">
      <c r="G174" t="s">
        <v>670</v>
      </c>
      <c r="H174">
        <v>669.28</v>
      </c>
    </row>
    <row r="175" spans="7:8" x14ac:dyDescent="0.25">
      <c r="G175" t="s">
        <v>671</v>
      </c>
      <c r="H175">
        <v>131426.03999999998</v>
      </c>
    </row>
    <row r="176" spans="7:8" x14ac:dyDescent="0.25">
      <c r="G176" t="s">
        <v>672</v>
      </c>
      <c r="H176">
        <v>51051.090000000011</v>
      </c>
    </row>
    <row r="177" spans="7:8" x14ac:dyDescent="0.25">
      <c r="G177" t="s">
        <v>673</v>
      </c>
      <c r="H177">
        <v>11167.49</v>
      </c>
    </row>
    <row r="178" spans="7:8" x14ac:dyDescent="0.25">
      <c r="G178" t="s">
        <v>674</v>
      </c>
      <c r="H178">
        <v>11175.980000000003</v>
      </c>
    </row>
    <row r="179" spans="7:8" x14ac:dyDescent="0.25">
      <c r="G179" t="s">
        <v>675</v>
      </c>
      <c r="H179">
        <v>1816.76</v>
      </c>
    </row>
    <row r="180" spans="7:8" x14ac:dyDescent="0.25">
      <c r="G180" t="s">
        <v>676</v>
      </c>
      <c r="H180">
        <v>2084.3240000000001</v>
      </c>
    </row>
    <row r="181" spans="7:8" x14ac:dyDescent="0.25">
      <c r="G181" t="s">
        <v>677</v>
      </c>
      <c r="H181">
        <v>78346.008999999991</v>
      </c>
    </row>
    <row r="182" spans="7:8" x14ac:dyDescent="0.25">
      <c r="G182" t="s">
        <v>678</v>
      </c>
      <c r="H182">
        <v>211504.17989999996</v>
      </c>
    </row>
    <row r="183" spans="7:8" x14ac:dyDescent="0.25">
      <c r="G183" t="s">
        <v>679</v>
      </c>
      <c r="H183">
        <v>14733.854000000003</v>
      </c>
    </row>
    <row r="184" spans="7:8" x14ac:dyDescent="0.25">
      <c r="G184" t="s">
        <v>680</v>
      </c>
      <c r="H184">
        <v>5937.2699999999995</v>
      </c>
    </row>
    <row r="185" spans="7:8" x14ac:dyDescent="0.25">
      <c r="G185" t="s">
        <v>681</v>
      </c>
      <c r="H185">
        <v>928041.46150000009</v>
      </c>
    </row>
    <row r="186" spans="7:8" x14ac:dyDescent="0.25">
      <c r="G186" t="s">
        <v>682</v>
      </c>
      <c r="H186">
        <v>4847.9799999999996</v>
      </c>
    </row>
    <row r="187" spans="7:8" x14ac:dyDescent="0.25">
      <c r="G187" t="s">
        <v>683</v>
      </c>
      <c r="H187">
        <v>292038.38999999996</v>
      </c>
    </row>
    <row r="188" spans="7:8" x14ac:dyDescent="0.25">
      <c r="G188" t="s">
        <v>684</v>
      </c>
      <c r="H188">
        <v>37476.100000000006</v>
      </c>
    </row>
    <row r="189" spans="7:8" x14ac:dyDescent="0.25">
      <c r="G189" t="s">
        <v>685</v>
      </c>
      <c r="H189">
        <v>11523.92</v>
      </c>
    </row>
    <row r="190" spans="7:8" x14ac:dyDescent="0.25">
      <c r="G190" t="s">
        <v>686</v>
      </c>
      <c r="H190">
        <v>313455.2060000003</v>
      </c>
    </row>
    <row r="191" spans="7:8" x14ac:dyDescent="0.25">
      <c r="G191" t="s">
        <v>687</v>
      </c>
      <c r="H191">
        <v>4832.3265999999994</v>
      </c>
    </row>
    <row r="192" spans="7:8" x14ac:dyDescent="0.25">
      <c r="G192" t="s">
        <v>688</v>
      </c>
      <c r="H192">
        <v>8424.3060000000005</v>
      </c>
    </row>
    <row r="193" spans="7:8" x14ac:dyDescent="0.25">
      <c r="G193" t="s">
        <v>689</v>
      </c>
      <c r="H193">
        <v>7816.45</v>
      </c>
    </row>
    <row r="194" spans="7:8" x14ac:dyDescent="0.25">
      <c r="G194" t="s">
        <v>690</v>
      </c>
      <c r="H194">
        <v>3356.7599999999998</v>
      </c>
    </row>
    <row r="195" spans="7:8" x14ac:dyDescent="0.25">
      <c r="G195" t="s">
        <v>691</v>
      </c>
      <c r="H195">
        <v>42131.710000000006</v>
      </c>
    </row>
    <row r="196" spans="7:8" x14ac:dyDescent="0.25">
      <c r="G196" t="s">
        <v>692</v>
      </c>
      <c r="H196">
        <v>61205.509999999995</v>
      </c>
    </row>
    <row r="197" spans="7:8" x14ac:dyDescent="0.25">
      <c r="G197" t="s">
        <v>693</v>
      </c>
      <c r="H197">
        <v>3424.6299999999992</v>
      </c>
    </row>
    <row r="198" spans="7:8" x14ac:dyDescent="0.25">
      <c r="G198" t="s">
        <v>694</v>
      </c>
      <c r="H198">
        <v>45691.994900000005</v>
      </c>
    </row>
    <row r="199" spans="7:8" x14ac:dyDescent="0.25">
      <c r="G199" t="s">
        <v>695</v>
      </c>
      <c r="H199">
        <v>2110</v>
      </c>
    </row>
    <row r="200" spans="7:8" x14ac:dyDescent="0.25">
      <c r="G200" t="s">
        <v>696</v>
      </c>
      <c r="H200">
        <v>43501.857433999998</v>
      </c>
    </row>
    <row r="201" spans="7:8" x14ac:dyDescent="0.25">
      <c r="G201" t="s">
        <v>697</v>
      </c>
      <c r="H201">
        <v>37946.603414999998</v>
      </c>
    </row>
    <row r="202" spans="7:8" x14ac:dyDescent="0.25">
      <c r="G202" t="s">
        <v>698</v>
      </c>
      <c r="H202">
        <v>648.13</v>
      </c>
    </row>
    <row r="203" spans="7:8" x14ac:dyDescent="0.25">
      <c r="G203" t="s">
        <v>699</v>
      </c>
      <c r="H203">
        <v>7441.49</v>
      </c>
    </row>
    <row r="204" spans="7:8" x14ac:dyDescent="0.25">
      <c r="G204" t="s">
        <v>700</v>
      </c>
      <c r="H204">
        <v>137814.59000000003</v>
      </c>
    </row>
    <row r="205" spans="7:8" x14ac:dyDescent="0.25">
      <c r="G205" t="s">
        <v>701</v>
      </c>
      <c r="H205">
        <v>16106.189999999991</v>
      </c>
    </row>
    <row r="206" spans="7:8" x14ac:dyDescent="0.25">
      <c r="G206" t="s">
        <v>702</v>
      </c>
      <c r="H206">
        <v>4820.5699999999961</v>
      </c>
    </row>
    <row r="207" spans="7:8" x14ac:dyDescent="0.25">
      <c r="G207" t="s">
        <v>703</v>
      </c>
      <c r="H207">
        <v>121477.683036</v>
      </c>
    </row>
    <row r="208" spans="7:8" x14ac:dyDescent="0.25">
      <c r="G208" t="s">
        <v>704</v>
      </c>
      <c r="H208">
        <v>50838.575500000145</v>
      </c>
    </row>
    <row r="209" spans="7:8" x14ac:dyDescent="0.25">
      <c r="G209" t="s">
        <v>705</v>
      </c>
      <c r="H209">
        <v>4024933.0147000002</v>
      </c>
    </row>
    <row r="210" spans="7:8" x14ac:dyDescent="0.25">
      <c r="G210" t="s">
        <v>706</v>
      </c>
      <c r="H210">
        <v>1489250.2149999994</v>
      </c>
    </row>
    <row r="211" spans="7:8" x14ac:dyDescent="0.25">
      <c r="G211" t="s">
        <v>707</v>
      </c>
      <c r="H211">
        <v>7173615.9443265991</v>
      </c>
    </row>
    <row r="212" spans="7:8" x14ac:dyDescent="0.25">
      <c r="G212" t="s">
        <v>708</v>
      </c>
      <c r="H212">
        <v>55723.844999999987</v>
      </c>
    </row>
    <row r="213" spans="7:8" x14ac:dyDescent="0.25">
      <c r="G213" t="s">
        <v>709</v>
      </c>
      <c r="H213">
        <v>22956.489999999998</v>
      </c>
    </row>
    <row r="214" spans="7:8" x14ac:dyDescent="0.25">
      <c r="G214" t="s">
        <v>710</v>
      </c>
      <c r="H214">
        <v>123071.41971000003</v>
      </c>
    </row>
    <row r="215" spans="7:8" x14ac:dyDescent="0.25">
      <c r="G215" t="s">
        <v>711</v>
      </c>
      <c r="H215">
        <v>200127.81430999856</v>
      </c>
    </row>
    <row r="216" spans="7:8" x14ac:dyDescent="0.25">
      <c r="G216" t="s">
        <v>712</v>
      </c>
      <c r="H216">
        <v>29242.691480000005</v>
      </c>
    </row>
    <row r="217" spans="7:8" x14ac:dyDescent="0.25">
      <c r="G217" t="s">
        <v>713</v>
      </c>
      <c r="H217">
        <v>9967.1719999999968</v>
      </c>
    </row>
    <row r="218" spans="7:8" x14ac:dyDescent="0.25">
      <c r="G218" t="s">
        <v>714</v>
      </c>
      <c r="H218">
        <v>93524.4</v>
      </c>
    </row>
    <row r="219" spans="7:8" x14ac:dyDescent="0.25">
      <c r="G219" t="s">
        <v>715</v>
      </c>
      <c r="H219">
        <v>13207.42</v>
      </c>
    </row>
    <row r="220" spans="7:8" x14ac:dyDescent="0.25">
      <c r="G220" t="s">
        <v>476</v>
      </c>
      <c r="H220">
        <v>310611.56999999995</v>
      </c>
    </row>
    <row r="221" spans="7:8" x14ac:dyDescent="0.25">
      <c r="G221" t="s">
        <v>716</v>
      </c>
      <c r="H221">
        <v>36447.906500000005</v>
      </c>
    </row>
    <row r="222" spans="7:8" x14ac:dyDescent="0.25">
      <c r="G222" t="s">
        <v>717</v>
      </c>
      <c r="H222">
        <v>141449.7100499997</v>
      </c>
    </row>
    <row r="223" spans="7:8" x14ac:dyDescent="0.25">
      <c r="G223" t="s">
        <v>718</v>
      </c>
      <c r="H223">
        <v>39892.727679999982</v>
      </c>
    </row>
    <row r="224" spans="7:8" x14ac:dyDescent="0.25">
      <c r="G224" t="s">
        <v>719</v>
      </c>
      <c r="H224">
        <v>103490.71680000002</v>
      </c>
    </row>
    <row r="225" spans="7:8" x14ac:dyDescent="0.25">
      <c r="G225" t="s">
        <v>720</v>
      </c>
      <c r="H225">
        <v>535718.21950000012</v>
      </c>
    </row>
    <row r="226" spans="7:8" x14ac:dyDescent="0.25">
      <c r="G226" t="s">
        <v>721</v>
      </c>
      <c r="H226">
        <v>24772.420000000002</v>
      </c>
    </row>
    <row r="227" spans="7:8" x14ac:dyDescent="0.25">
      <c r="G227" t="s">
        <v>722</v>
      </c>
      <c r="H227">
        <v>110869.658</v>
      </c>
    </row>
    <row r="228" spans="7:8" x14ac:dyDescent="0.25">
      <c r="G228" t="s">
        <v>723</v>
      </c>
      <c r="H228">
        <v>33651.160000000003</v>
      </c>
    </row>
    <row r="229" spans="7:8" x14ac:dyDescent="0.25">
      <c r="G229" t="s">
        <v>724</v>
      </c>
      <c r="H229">
        <v>87250.6876358999</v>
      </c>
    </row>
    <row r="230" spans="7:8" x14ac:dyDescent="0.25">
      <c r="G230" t="s">
        <v>725</v>
      </c>
      <c r="H230">
        <v>17446.755999999998</v>
      </c>
    </row>
    <row r="231" spans="7:8" x14ac:dyDescent="0.25">
      <c r="G231" t="s">
        <v>726</v>
      </c>
      <c r="H231">
        <v>24099.378874999999</v>
      </c>
    </row>
    <row r="232" spans="7:8" x14ac:dyDescent="0.25">
      <c r="G232" t="s">
        <v>727</v>
      </c>
      <c r="H232">
        <v>1676.0000000000005</v>
      </c>
    </row>
    <row r="233" spans="7:8" x14ac:dyDescent="0.25">
      <c r="G233" t="s">
        <v>728</v>
      </c>
      <c r="H233">
        <v>49050.370002500007</v>
      </c>
    </row>
    <row r="234" spans="7:8" x14ac:dyDescent="0.25">
      <c r="G234" t="s">
        <v>729</v>
      </c>
      <c r="H234">
        <v>17554.555944799999</v>
      </c>
    </row>
    <row r="235" spans="7:8" x14ac:dyDescent="0.25">
      <c r="G235" t="s">
        <v>730</v>
      </c>
      <c r="H235">
        <v>13837.373299999999</v>
      </c>
    </row>
    <row r="236" spans="7:8" x14ac:dyDescent="0.25">
      <c r="G236" t="s">
        <v>731</v>
      </c>
      <c r="H236">
        <v>1551.7599999999998</v>
      </c>
    </row>
    <row r="237" spans="7:8" x14ac:dyDescent="0.25">
      <c r="G237" t="s">
        <v>732</v>
      </c>
      <c r="H237">
        <v>10858.949999999999</v>
      </c>
    </row>
    <row r="238" spans="7:8" x14ac:dyDescent="0.25">
      <c r="G238" t="s">
        <v>733</v>
      </c>
      <c r="H238">
        <v>5923.9099999999962</v>
      </c>
    </row>
    <row r="239" spans="7:8" x14ac:dyDescent="0.25">
      <c r="G239" t="s">
        <v>734</v>
      </c>
      <c r="H239">
        <v>120475.16</v>
      </c>
    </row>
    <row r="240" spans="7:8" x14ac:dyDescent="0.25">
      <c r="G240" t="s">
        <v>735</v>
      </c>
      <c r="H240">
        <v>67938.81</v>
      </c>
    </row>
    <row r="241" spans="7:8" x14ac:dyDescent="0.25">
      <c r="G241" t="s">
        <v>736</v>
      </c>
      <c r="H241">
        <v>32131.170000000016</v>
      </c>
    </row>
    <row r="242" spans="7:8" x14ac:dyDescent="0.25">
      <c r="G242" t="s">
        <v>454</v>
      </c>
      <c r="H242">
        <v>9376.119999999999</v>
      </c>
    </row>
    <row r="243" spans="7:8" x14ac:dyDescent="0.25">
      <c r="G243" t="s">
        <v>737</v>
      </c>
      <c r="H243">
        <v>671433.1660000002</v>
      </c>
    </row>
    <row r="244" spans="7:8" x14ac:dyDescent="0.25">
      <c r="G244" t="s">
        <v>738</v>
      </c>
      <c r="H244">
        <v>5192.08</v>
      </c>
    </row>
    <row r="245" spans="7:8" x14ac:dyDescent="0.25">
      <c r="G245" t="s">
        <v>739</v>
      </c>
      <c r="H245">
        <v>966553.43166669982</v>
      </c>
    </row>
    <row r="246" spans="7:8" x14ac:dyDescent="0.25">
      <c r="G246" t="s">
        <v>740</v>
      </c>
      <c r="H246">
        <v>14040899.7236667</v>
      </c>
    </row>
    <row r="247" spans="7:8" x14ac:dyDescent="0.25">
      <c r="G247" t="s">
        <v>741</v>
      </c>
      <c r="H247">
        <v>37239.99</v>
      </c>
    </row>
    <row r="248" spans="7:8" x14ac:dyDescent="0.25">
      <c r="G248" t="s">
        <v>742</v>
      </c>
      <c r="H248">
        <v>239289.66719999991</v>
      </c>
    </row>
    <row r="249" spans="7:8" x14ac:dyDescent="0.25">
      <c r="G249" t="s">
        <v>743</v>
      </c>
      <c r="H249">
        <v>202014.09880000021</v>
      </c>
    </row>
    <row r="250" spans="7:8" x14ac:dyDescent="0.25">
      <c r="G250" t="s">
        <v>461</v>
      </c>
      <c r="H250">
        <v>108499.63000000003</v>
      </c>
    </row>
    <row r="251" spans="7:8" x14ac:dyDescent="0.25">
      <c r="G251" t="s">
        <v>744</v>
      </c>
      <c r="H251">
        <v>619669.39611299941</v>
      </c>
    </row>
    <row r="252" spans="7:8" x14ac:dyDescent="0.25">
      <c r="G252" t="s">
        <v>745</v>
      </c>
      <c r="H252">
        <v>164604.75295599989</v>
      </c>
    </row>
    <row r="253" spans="7:8" x14ac:dyDescent="0.25">
      <c r="G253" t="s">
        <v>746</v>
      </c>
      <c r="H253">
        <v>199762.58799999999</v>
      </c>
    </row>
    <row r="254" spans="7:8" x14ac:dyDescent="0.25">
      <c r="G254" t="s">
        <v>747</v>
      </c>
      <c r="H254">
        <v>11768.261999999999</v>
      </c>
    </row>
    <row r="255" spans="7:8" x14ac:dyDescent="0.25">
      <c r="G255" t="s">
        <v>467</v>
      </c>
      <c r="H255">
        <v>128191.56829999988</v>
      </c>
    </row>
    <row r="256" spans="7:8" x14ac:dyDescent="0.25">
      <c r="G256" t="s">
        <v>748</v>
      </c>
      <c r="H256">
        <v>143497.0405</v>
      </c>
    </row>
    <row r="257" spans="7:8" x14ac:dyDescent="0.25">
      <c r="G257" t="s">
        <v>425</v>
      </c>
      <c r="H257">
        <v>222953.59000000003</v>
      </c>
    </row>
    <row r="258" spans="7:8" x14ac:dyDescent="0.25">
      <c r="G258" t="s">
        <v>749</v>
      </c>
      <c r="H258">
        <v>941765.57338789955</v>
      </c>
    </row>
    <row r="259" spans="7:8" x14ac:dyDescent="0.25">
      <c r="G259" t="s">
        <v>750</v>
      </c>
      <c r="H259">
        <v>99267.089200000017</v>
      </c>
    </row>
    <row r="260" spans="7:8" x14ac:dyDescent="0.25">
      <c r="G260" t="s">
        <v>751</v>
      </c>
      <c r="H260">
        <v>15752.289999999999</v>
      </c>
    </row>
    <row r="261" spans="7:8" x14ac:dyDescent="0.25">
      <c r="G261" t="s">
        <v>752</v>
      </c>
      <c r="H261">
        <v>718658.12080000027</v>
      </c>
    </row>
    <row r="262" spans="7:8" x14ac:dyDescent="0.25">
      <c r="G262" t="s">
        <v>753</v>
      </c>
      <c r="H262">
        <v>248478.97666699992</v>
      </c>
    </row>
    <row r="263" spans="7:8" x14ac:dyDescent="0.25">
      <c r="G263" t="s">
        <v>754</v>
      </c>
      <c r="H263">
        <v>75615.049999999988</v>
      </c>
    </row>
    <row r="264" spans="7:8" x14ac:dyDescent="0.25">
      <c r="G264" t="s">
        <v>755</v>
      </c>
      <c r="H264">
        <v>216296.95849999989</v>
      </c>
    </row>
    <row r="265" spans="7:8" x14ac:dyDescent="0.25">
      <c r="G265" t="s">
        <v>756</v>
      </c>
      <c r="H265">
        <v>3392472.5381910936</v>
      </c>
    </row>
    <row r="266" spans="7:8" x14ac:dyDescent="0.25">
      <c r="G266" t="s">
        <v>757</v>
      </c>
      <c r="H266">
        <v>556677.90060000028</v>
      </c>
    </row>
    <row r="267" spans="7:8" x14ac:dyDescent="0.25">
      <c r="G267" t="s">
        <v>474</v>
      </c>
      <c r="H267">
        <v>1134086.9758443998</v>
      </c>
    </row>
    <row r="268" spans="7:8" x14ac:dyDescent="0.25">
      <c r="G268" t="s">
        <v>758</v>
      </c>
      <c r="H268">
        <v>251001.17033330016</v>
      </c>
    </row>
    <row r="269" spans="7:8" x14ac:dyDescent="0.25">
      <c r="G269" t="s">
        <v>759</v>
      </c>
      <c r="H269">
        <v>436010.45859999978</v>
      </c>
    </row>
    <row r="270" spans="7:8" x14ac:dyDescent="0.25">
      <c r="G270" t="s">
        <v>760</v>
      </c>
      <c r="H270">
        <v>575133.26110000047</v>
      </c>
    </row>
    <row r="271" spans="7:8" x14ac:dyDescent="0.25">
      <c r="G271" t="s">
        <v>761</v>
      </c>
      <c r="H271">
        <v>167429.31</v>
      </c>
    </row>
    <row r="272" spans="7:8" x14ac:dyDescent="0.25">
      <c r="G272" t="s">
        <v>762</v>
      </c>
      <c r="H272">
        <v>156854.65849999999</v>
      </c>
    </row>
    <row r="273" spans="7:8" x14ac:dyDescent="0.25">
      <c r="G273" t="s">
        <v>763</v>
      </c>
      <c r="H273">
        <v>115216.68380000001</v>
      </c>
    </row>
    <row r="274" spans="7:8" x14ac:dyDescent="0.25">
      <c r="G274" t="s">
        <v>764</v>
      </c>
      <c r="H274">
        <v>154227.75666670001</v>
      </c>
    </row>
    <row r="275" spans="7:8" x14ac:dyDescent="0.25">
      <c r="G275" t="s">
        <v>765</v>
      </c>
      <c r="H275">
        <v>14051.039999999999</v>
      </c>
    </row>
    <row r="276" spans="7:8" x14ac:dyDescent="0.25">
      <c r="G276" t="s">
        <v>766</v>
      </c>
      <c r="H276">
        <v>17168.690000000002</v>
      </c>
    </row>
    <row r="277" spans="7:8" x14ac:dyDescent="0.25">
      <c r="G277" t="s">
        <v>767</v>
      </c>
      <c r="H277">
        <v>34764.26</v>
      </c>
    </row>
    <row r="278" spans="7:8" x14ac:dyDescent="0.25">
      <c r="G278" t="s">
        <v>768</v>
      </c>
      <c r="H278">
        <v>77955.039999999994</v>
      </c>
    </row>
    <row r="279" spans="7:8" x14ac:dyDescent="0.25">
      <c r="G279" t="s">
        <v>769</v>
      </c>
      <c r="H279">
        <v>4191.6900000000014</v>
      </c>
    </row>
    <row r="280" spans="7:8" x14ac:dyDescent="0.25">
      <c r="G280" t="s">
        <v>770</v>
      </c>
      <c r="H280">
        <v>13036.6499</v>
      </c>
    </row>
    <row r="281" spans="7:8" x14ac:dyDescent="0.25">
      <c r="G281" t="s">
        <v>771</v>
      </c>
      <c r="H281">
        <v>41294.160000000003</v>
      </c>
    </row>
    <row r="282" spans="7:8" x14ac:dyDescent="0.25">
      <c r="G282" t="s">
        <v>772</v>
      </c>
      <c r="H282">
        <v>261</v>
      </c>
    </row>
    <row r="283" spans="7:8" x14ac:dyDescent="0.25">
      <c r="G283" t="s">
        <v>773</v>
      </c>
      <c r="H283">
        <v>14221.39</v>
      </c>
    </row>
    <row r="284" spans="7:8" x14ac:dyDescent="0.25">
      <c r="G284" t="s">
        <v>121</v>
      </c>
      <c r="H284">
        <v>33544.272000000004</v>
      </c>
    </row>
    <row r="285" spans="7:8" x14ac:dyDescent="0.25">
      <c r="G285" t="s">
        <v>774</v>
      </c>
      <c r="H285">
        <v>39462.259999999995</v>
      </c>
    </row>
    <row r="286" spans="7:8" x14ac:dyDescent="0.25">
      <c r="G286" t="s">
        <v>775</v>
      </c>
      <c r="H286">
        <v>233179.03999999972</v>
      </c>
    </row>
    <row r="287" spans="7:8" x14ac:dyDescent="0.25">
      <c r="G287" t="s">
        <v>776</v>
      </c>
      <c r="H287">
        <v>8039.2800000000007</v>
      </c>
    </row>
    <row r="288" spans="7:8" x14ac:dyDescent="0.25">
      <c r="G288" t="s">
        <v>777</v>
      </c>
      <c r="H288">
        <v>12680.979999999998</v>
      </c>
    </row>
    <row r="289" spans="7:8" x14ac:dyDescent="0.25">
      <c r="G289" t="s">
        <v>778</v>
      </c>
      <c r="H289">
        <v>237091.09900000039</v>
      </c>
    </row>
    <row r="290" spans="7:8" x14ac:dyDescent="0.25">
      <c r="G290" t="s">
        <v>779</v>
      </c>
      <c r="H290">
        <v>116163.80000000006</v>
      </c>
    </row>
    <row r="291" spans="7:8" x14ac:dyDescent="0.25">
      <c r="G291" t="s">
        <v>780</v>
      </c>
      <c r="H291">
        <v>5962.8399999999992</v>
      </c>
    </row>
    <row r="292" spans="7:8" x14ac:dyDescent="0.25">
      <c r="G292" t="s">
        <v>781</v>
      </c>
      <c r="H292">
        <v>192768.95457999996</v>
      </c>
    </row>
    <row r="293" spans="7:8" x14ac:dyDescent="0.25">
      <c r="G293" t="s">
        <v>782</v>
      </c>
      <c r="H293">
        <v>26893.755000000005</v>
      </c>
    </row>
    <row r="294" spans="7:8" x14ac:dyDescent="0.25">
      <c r="G294" t="s">
        <v>783</v>
      </c>
      <c r="H294">
        <v>33190.360000000008</v>
      </c>
    </row>
    <row r="295" spans="7:8" x14ac:dyDescent="0.25">
      <c r="G295" t="s">
        <v>784</v>
      </c>
      <c r="H295">
        <v>2300</v>
      </c>
    </row>
    <row r="296" spans="7:8" x14ac:dyDescent="0.25">
      <c r="G296" t="s">
        <v>785</v>
      </c>
      <c r="H296">
        <v>57755</v>
      </c>
    </row>
    <row r="297" spans="7:8" x14ac:dyDescent="0.25">
      <c r="G297" t="s">
        <v>786</v>
      </c>
      <c r="H297">
        <v>3712.38</v>
      </c>
    </row>
    <row r="298" spans="7:8" x14ac:dyDescent="0.25">
      <c r="G298" t="s">
        <v>787</v>
      </c>
      <c r="H298">
        <v>15190.979999999998</v>
      </c>
    </row>
    <row r="299" spans="7:8" x14ac:dyDescent="0.25">
      <c r="G299" t="s">
        <v>788</v>
      </c>
      <c r="H299">
        <v>17581.95</v>
      </c>
    </row>
    <row r="300" spans="7:8" x14ac:dyDescent="0.25">
      <c r="G300" t="s">
        <v>789</v>
      </c>
      <c r="H300">
        <v>2284.5099999999998</v>
      </c>
    </row>
    <row r="301" spans="7:8" x14ac:dyDescent="0.25">
      <c r="G301" t="s">
        <v>790</v>
      </c>
      <c r="H301">
        <v>969.34</v>
      </c>
    </row>
    <row r="302" spans="7:8" x14ac:dyDescent="0.25">
      <c r="G302" t="s">
        <v>791</v>
      </c>
      <c r="H302">
        <v>238139.09975000014</v>
      </c>
    </row>
    <row r="303" spans="7:8" x14ac:dyDescent="0.25">
      <c r="G303" t="s">
        <v>792</v>
      </c>
      <c r="H303">
        <v>34330.070000000014</v>
      </c>
    </row>
    <row r="304" spans="7:8" x14ac:dyDescent="0.25">
      <c r="G304" t="s">
        <v>793</v>
      </c>
      <c r="H304">
        <v>71626.400999999954</v>
      </c>
    </row>
    <row r="305" spans="7:8" x14ac:dyDescent="0.25">
      <c r="G305" t="s">
        <v>794</v>
      </c>
      <c r="H305">
        <v>10674.349999999999</v>
      </c>
    </row>
    <row r="306" spans="7:8" x14ac:dyDescent="0.25">
      <c r="G306" t="s">
        <v>795</v>
      </c>
      <c r="H306">
        <v>35910.060000000019</v>
      </c>
    </row>
    <row r="307" spans="7:8" x14ac:dyDescent="0.25">
      <c r="G307" t="s">
        <v>796</v>
      </c>
      <c r="H307">
        <v>3959.1600000000003</v>
      </c>
    </row>
    <row r="308" spans="7:8" x14ac:dyDescent="0.25">
      <c r="G308" t="s">
        <v>797</v>
      </c>
      <c r="H308">
        <v>482175.96999999991</v>
      </c>
    </row>
    <row r="309" spans="7:8" x14ac:dyDescent="0.25">
      <c r="G309" t="s">
        <v>798</v>
      </c>
      <c r="H309">
        <v>12136.660000000007</v>
      </c>
    </row>
    <row r="310" spans="7:8" x14ac:dyDescent="0.25">
      <c r="G310" t="s">
        <v>799</v>
      </c>
      <c r="H310">
        <v>78783</v>
      </c>
    </row>
    <row r="311" spans="7:8" x14ac:dyDescent="0.25">
      <c r="G311" t="s">
        <v>800</v>
      </c>
      <c r="H311">
        <v>1584.7700000000002</v>
      </c>
    </row>
    <row r="312" spans="7:8" x14ac:dyDescent="0.25">
      <c r="G312" t="s">
        <v>801</v>
      </c>
      <c r="H312">
        <v>14118.069954999984</v>
      </c>
    </row>
    <row r="313" spans="7:8" x14ac:dyDescent="0.25">
      <c r="G313" t="s">
        <v>802</v>
      </c>
      <c r="H313">
        <v>4877.5100000000057</v>
      </c>
    </row>
    <row r="314" spans="7:8" x14ac:dyDescent="0.25">
      <c r="G314" t="s">
        <v>490</v>
      </c>
      <c r="H314">
        <v>95517.559999999969</v>
      </c>
    </row>
    <row r="315" spans="7:8" x14ac:dyDescent="0.25">
      <c r="G315" t="s">
        <v>803</v>
      </c>
      <c r="H315">
        <v>83212.88</v>
      </c>
    </row>
    <row r="316" spans="7:8" x14ac:dyDescent="0.25">
      <c r="G316" t="s">
        <v>804</v>
      </c>
      <c r="H316">
        <v>1603.35</v>
      </c>
    </row>
    <row r="317" spans="7:8" x14ac:dyDescent="0.25">
      <c r="G317" t="s">
        <v>805</v>
      </c>
      <c r="H317">
        <v>1202560.57</v>
      </c>
    </row>
    <row r="318" spans="7:8" x14ac:dyDescent="0.25">
      <c r="G318" t="s">
        <v>319</v>
      </c>
      <c r="H318">
        <v>59488.554300000003</v>
      </c>
    </row>
    <row r="319" spans="7:8" x14ac:dyDescent="0.25">
      <c r="G319" t="s">
        <v>806</v>
      </c>
      <c r="H319">
        <v>30675.74</v>
      </c>
    </row>
    <row r="320" spans="7:8" x14ac:dyDescent="0.25">
      <c r="G320" t="s">
        <v>807</v>
      </c>
      <c r="H320">
        <v>64973.279999999992</v>
      </c>
    </row>
    <row r="321" spans="7:8" x14ac:dyDescent="0.25">
      <c r="G321" t="s">
        <v>808</v>
      </c>
      <c r="H321">
        <v>8336.8299999999981</v>
      </c>
    </row>
    <row r="322" spans="7:8" x14ac:dyDescent="0.25">
      <c r="G322" t="s">
        <v>809</v>
      </c>
      <c r="H322">
        <v>2950.76</v>
      </c>
    </row>
    <row r="323" spans="7:8" x14ac:dyDescent="0.25">
      <c r="G323" t="s">
        <v>810</v>
      </c>
      <c r="H323">
        <v>1551.22</v>
      </c>
    </row>
    <row r="324" spans="7:8" x14ac:dyDescent="0.25">
      <c r="G324" t="s">
        <v>811</v>
      </c>
      <c r="H324">
        <v>59476.60500000004</v>
      </c>
    </row>
    <row r="325" spans="7:8" x14ac:dyDescent="0.25">
      <c r="G325" t="s">
        <v>812</v>
      </c>
      <c r="H325">
        <v>8046.6299999999992</v>
      </c>
    </row>
    <row r="326" spans="7:8" x14ac:dyDescent="0.25">
      <c r="G326" t="s">
        <v>813</v>
      </c>
      <c r="H326">
        <v>6666.2854999999981</v>
      </c>
    </row>
    <row r="327" spans="7:8" x14ac:dyDescent="0.25">
      <c r="G327" t="s">
        <v>814</v>
      </c>
      <c r="H327">
        <v>199226.50693840018</v>
      </c>
    </row>
    <row r="328" spans="7:8" x14ac:dyDescent="0.25">
      <c r="G328" t="s">
        <v>815</v>
      </c>
      <c r="H328">
        <v>21417.600000000006</v>
      </c>
    </row>
    <row r="329" spans="7:8" x14ac:dyDescent="0.25">
      <c r="G329" t="s">
        <v>816</v>
      </c>
      <c r="H329">
        <v>1175.04</v>
      </c>
    </row>
    <row r="330" spans="7:8" x14ac:dyDescent="0.25">
      <c r="G330" t="s">
        <v>817</v>
      </c>
      <c r="H330">
        <v>10486.271400000003</v>
      </c>
    </row>
    <row r="331" spans="7:8" x14ac:dyDescent="0.25">
      <c r="G331" t="s">
        <v>818</v>
      </c>
      <c r="H331">
        <v>23676.27</v>
      </c>
    </row>
    <row r="332" spans="7:8" x14ac:dyDescent="0.25">
      <c r="G332" t="s">
        <v>819</v>
      </c>
      <c r="H332">
        <v>7526.470019999997</v>
      </c>
    </row>
    <row r="333" spans="7:8" x14ac:dyDescent="0.25">
      <c r="G333" t="s">
        <v>820</v>
      </c>
      <c r="H333">
        <v>11237.285999999995</v>
      </c>
    </row>
    <row r="334" spans="7:8" x14ac:dyDescent="0.25">
      <c r="G334" t="s">
        <v>821</v>
      </c>
      <c r="H334">
        <v>3298.7</v>
      </c>
    </row>
    <row r="335" spans="7:8" x14ac:dyDescent="0.25">
      <c r="G335" t="s">
        <v>822</v>
      </c>
      <c r="H335">
        <v>12613.39</v>
      </c>
    </row>
    <row r="336" spans="7:8" x14ac:dyDescent="0.25">
      <c r="G336" t="s">
        <v>823</v>
      </c>
      <c r="H336">
        <v>155434.71299999979</v>
      </c>
    </row>
    <row r="337" spans="7:8" x14ac:dyDescent="0.25">
      <c r="G337" t="s">
        <v>824</v>
      </c>
      <c r="H337">
        <v>64419.14299999996</v>
      </c>
    </row>
    <row r="338" spans="7:8" x14ac:dyDescent="0.25">
      <c r="G338" t="s">
        <v>825</v>
      </c>
      <c r="H338">
        <v>217938.56999999992</v>
      </c>
    </row>
    <row r="339" spans="7:8" x14ac:dyDescent="0.25">
      <c r="G339" t="s">
        <v>826</v>
      </c>
      <c r="H339">
        <v>53233.170600000027</v>
      </c>
    </row>
    <row r="340" spans="7:8" x14ac:dyDescent="0.25">
      <c r="G340" t="s">
        <v>827</v>
      </c>
      <c r="H340">
        <v>111012.21881290041</v>
      </c>
    </row>
    <row r="341" spans="7:8" x14ac:dyDescent="0.25">
      <c r="G341" t="s">
        <v>828</v>
      </c>
      <c r="H341">
        <v>131437.13792869996</v>
      </c>
    </row>
    <row r="342" spans="7:8" x14ac:dyDescent="0.25">
      <c r="G342" t="s">
        <v>829</v>
      </c>
      <c r="H342">
        <v>16495.440000000006</v>
      </c>
    </row>
    <row r="343" spans="7:8" x14ac:dyDescent="0.25">
      <c r="G343" t="s">
        <v>830</v>
      </c>
      <c r="H343">
        <v>26077.534349999998</v>
      </c>
    </row>
    <row r="344" spans="7:8" x14ac:dyDescent="0.25">
      <c r="G344" t="s">
        <v>831</v>
      </c>
      <c r="H344">
        <v>263919.27672000002</v>
      </c>
    </row>
    <row r="345" spans="7:8" x14ac:dyDescent="0.25">
      <c r="G345" t="s">
        <v>832</v>
      </c>
      <c r="H345">
        <v>13596.648178099998</v>
      </c>
    </row>
    <row r="346" spans="7:8" x14ac:dyDescent="0.25">
      <c r="G346" t="s">
        <v>833</v>
      </c>
      <c r="H346">
        <v>55759.437600000005</v>
      </c>
    </row>
    <row r="347" spans="7:8" x14ac:dyDescent="0.25">
      <c r="G347" t="s">
        <v>834</v>
      </c>
      <c r="H347">
        <v>224922.18614169993</v>
      </c>
    </row>
    <row r="348" spans="7:8" x14ac:dyDescent="0.25">
      <c r="G348" t="s">
        <v>835</v>
      </c>
      <c r="H348">
        <v>33067.460000000014</v>
      </c>
    </row>
    <row r="349" spans="7:8" x14ac:dyDescent="0.25">
      <c r="G349" t="s">
        <v>836</v>
      </c>
      <c r="H349">
        <v>1276.4199999999998</v>
      </c>
    </row>
    <row r="350" spans="7:8" x14ac:dyDescent="0.25">
      <c r="G350" t="s">
        <v>837</v>
      </c>
      <c r="H350">
        <v>445618</v>
      </c>
    </row>
    <row r="351" spans="7:8" x14ac:dyDescent="0.25">
      <c r="G351" t="s">
        <v>838</v>
      </c>
      <c r="H351">
        <v>135638.32406219974</v>
      </c>
    </row>
    <row r="352" spans="7:8" x14ac:dyDescent="0.25">
      <c r="G352" t="s">
        <v>839</v>
      </c>
      <c r="H352">
        <v>67220.39</v>
      </c>
    </row>
    <row r="353" spans="7:8" x14ac:dyDescent="0.25">
      <c r="G353" t="s">
        <v>840</v>
      </c>
      <c r="H353">
        <v>11650.769999999999</v>
      </c>
    </row>
    <row r="354" spans="7:8" x14ac:dyDescent="0.25">
      <c r="G354" t="s">
        <v>841</v>
      </c>
      <c r="H354">
        <v>18128.823349500002</v>
      </c>
    </row>
    <row r="355" spans="7:8" x14ac:dyDescent="0.25">
      <c r="G355" t="s">
        <v>842</v>
      </c>
      <c r="H355">
        <v>423679.81</v>
      </c>
    </row>
    <row r="356" spans="7:8" x14ac:dyDescent="0.25">
      <c r="G356" t="s">
        <v>843</v>
      </c>
      <c r="H356">
        <v>58931.090399999906</v>
      </c>
    </row>
    <row r="357" spans="7:8" x14ac:dyDescent="0.25">
      <c r="G357" t="s">
        <v>844</v>
      </c>
      <c r="H357">
        <v>10524.69</v>
      </c>
    </row>
    <row r="358" spans="7:8" x14ac:dyDescent="0.25">
      <c r="G358" t="s">
        <v>845</v>
      </c>
      <c r="H358">
        <v>101584.96466660008</v>
      </c>
    </row>
    <row r="359" spans="7:8" x14ac:dyDescent="0.25">
      <c r="G359" t="s">
        <v>846</v>
      </c>
      <c r="H359">
        <v>182715.66962800012</v>
      </c>
    </row>
    <row r="360" spans="7:8" x14ac:dyDescent="0.25">
      <c r="G360" t="s">
        <v>847</v>
      </c>
      <c r="H360">
        <v>1706.7399999999998</v>
      </c>
    </row>
    <row r="361" spans="7:8" x14ac:dyDescent="0.25">
      <c r="G361" t="s">
        <v>848</v>
      </c>
      <c r="H361">
        <v>4538.5899999999992</v>
      </c>
    </row>
    <row r="362" spans="7:8" x14ac:dyDescent="0.25">
      <c r="G362" t="s">
        <v>849</v>
      </c>
      <c r="H362">
        <v>6582.3558800000001</v>
      </c>
    </row>
    <row r="363" spans="7:8" x14ac:dyDescent="0.25">
      <c r="G363" t="s">
        <v>115</v>
      </c>
      <c r="H363">
        <v>644800.64966000023</v>
      </c>
    </row>
    <row r="364" spans="7:8" x14ac:dyDescent="0.25">
      <c r="G364" t="s">
        <v>850</v>
      </c>
      <c r="H364">
        <v>31918.569300000003</v>
      </c>
    </row>
    <row r="365" spans="7:8" x14ac:dyDescent="0.25">
      <c r="G365" t="s">
        <v>851</v>
      </c>
      <c r="H365">
        <v>12861.579999999994</v>
      </c>
    </row>
    <row r="366" spans="7:8" x14ac:dyDescent="0.25">
      <c r="G366" t="s">
        <v>852</v>
      </c>
      <c r="H366">
        <v>2377.52</v>
      </c>
    </row>
    <row r="367" spans="7:8" x14ac:dyDescent="0.25">
      <c r="G367" t="s">
        <v>853</v>
      </c>
      <c r="H367">
        <v>167626.85030000005</v>
      </c>
    </row>
    <row r="368" spans="7:8" x14ac:dyDescent="0.25">
      <c r="G368" t="s">
        <v>854</v>
      </c>
      <c r="H368">
        <v>11603.880000000001</v>
      </c>
    </row>
    <row r="369" spans="7:8" x14ac:dyDescent="0.25">
      <c r="G369" t="s">
        <v>855</v>
      </c>
      <c r="H369">
        <v>5116.84</v>
      </c>
    </row>
    <row r="370" spans="7:8" x14ac:dyDescent="0.25">
      <c r="G370" t="s">
        <v>856</v>
      </c>
      <c r="H370">
        <v>38496.720000000001</v>
      </c>
    </row>
    <row r="371" spans="7:8" x14ac:dyDescent="0.25">
      <c r="G371" t="s">
        <v>857</v>
      </c>
      <c r="H371">
        <v>4289.9600000000009</v>
      </c>
    </row>
    <row r="372" spans="7:8" x14ac:dyDescent="0.25">
      <c r="G372" t="s">
        <v>858</v>
      </c>
      <c r="H372">
        <v>7412.0099999999993</v>
      </c>
    </row>
    <row r="373" spans="7:8" x14ac:dyDescent="0.25">
      <c r="G373" t="s">
        <v>859</v>
      </c>
      <c r="H373">
        <v>20699.847000000005</v>
      </c>
    </row>
    <row r="374" spans="7:8" x14ac:dyDescent="0.25">
      <c r="G374" t="s">
        <v>860</v>
      </c>
      <c r="H374">
        <v>55586.36000000003</v>
      </c>
    </row>
    <row r="375" spans="7:8" x14ac:dyDescent="0.25">
      <c r="G375" t="s">
        <v>861</v>
      </c>
      <c r="H375">
        <v>73806.0353799</v>
      </c>
    </row>
    <row r="376" spans="7:8" x14ac:dyDescent="0.25">
      <c r="G376" t="s">
        <v>862</v>
      </c>
      <c r="H376">
        <v>9341.035399999997</v>
      </c>
    </row>
    <row r="377" spans="7:8" x14ac:dyDescent="0.25">
      <c r="G377" t="s">
        <v>863</v>
      </c>
      <c r="H377">
        <v>20748.924999999996</v>
      </c>
    </row>
    <row r="378" spans="7:8" x14ac:dyDescent="0.25">
      <c r="G378" t="s">
        <v>864</v>
      </c>
      <c r="H378">
        <v>8223.4610000000011</v>
      </c>
    </row>
    <row r="379" spans="7:8" x14ac:dyDescent="0.25">
      <c r="G379" t="s">
        <v>865</v>
      </c>
      <c r="H379">
        <v>658352.30751040275</v>
      </c>
    </row>
    <row r="380" spans="7:8" x14ac:dyDescent="0.25">
      <c r="G380" t="s">
        <v>866</v>
      </c>
      <c r="H380">
        <v>3934.293000000001</v>
      </c>
    </row>
    <row r="381" spans="7:8" x14ac:dyDescent="0.25">
      <c r="G381" t="s">
        <v>867</v>
      </c>
      <c r="H381">
        <v>103397.20591760003</v>
      </c>
    </row>
    <row r="382" spans="7:8" x14ac:dyDescent="0.25">
      <c r="G382" t="s">
        <v>868</v>
      </c>
      <c r="H382">
        <v>0</v>
      </c>
    </row>
    <row r="383" spans="7:8" x14ac:dyDescent="0.25">
      <c r="G383" t="s">
        <v>869</v>
      </c>
      <c r="H383">
        <v>3220.5701000000004</v>
      </c>
    </row>
    <row r="384" spans="7:8" x14ac:dyDescent="0.25">
      <c r="G384" t="s">
        <v>870</v>
      </c>
      <c r="H384">
        <v>206939.13</v>
      </c>
    </row>
    <row r="385" spans="7:8" x14ac:dyDescent="0.25">
      <c r="G385" t="s">
        <v>871</v>
      </c>
      <c r="H385">
        <v>30631.750349999955</v>
      </c>
    </row>
    <row r="386" spans="7:8" x14ac:dyDescent="0.25">
      <c r="G386" t="s">
        <v>872</v>
      </c>
      <c r="H386">
        <v>736814.1615904998</v>
      </c>
    </row>
    <row r="387" spans="7:8" x14ac:dyDescent="0.25">
      <c r="G387" t="s">
        <v>873</v>
      </c>
      <c r="H387">
        <v>104575.45999999996</v>
      </c>
    </row>
    <row r="388" spans="7:8" x14ac:dyDescent="0.25">
      <c r="G388" t="s">
        <v>874</v>
      </c>
      <c r="H388">
        <v>19703.689999999999</v>
      </c>
    </row>
    <row r="389" spans="7:8" x14ac:dyDescent="0.25">
      <c r="G389" t="s">
        <v>875</v>
      </c>
      <c r="H389">
        <v>1150</v>
      </c>
    </row>
    <row r="390" spans="7:8" x14ac:dyDescent="0.25">
      <c r="G390" t="s">
        <v>876</v>
      </c>
      <c r="H390">
        <v>1064.75</v>
      </c>
    </row>
    <row r="391" spans="7:8" x14ac:dyDescent="0.25">
      <c r="G391" t="s">
        <v>877</v>
      </c>
      <c r="H391">
        <v>486786.31879999995</v>
      </c>
    </row>
    <row r="392" spans="7:8" x14ac:dyDescent="0.25">
      <c r="G392" t="s">
        <v>878</v>
      </c>
      <c r="H392">
        <v>2095980.6856899997</v>
      </c>
    </row>
    <row r="393" spans="7:8" x14ac:dyDescent="0.25">
      <c r="G393" t="s">
        <v>879</v>
      </c>
      <c r="H393">
        <v>150684.11102780001</v>
      </c>
    </row>
    <row r="394" spans="7:8" x14ac:dyDescent="0.25">
      <c r="G394" t="s">
        <v>483</v>
      </c>
      <c r="H394">
        <v>373084.74</v>
      </c>
    </row>
    <row r="395" spans="7:8" x14ac:dyDescent="0.25">
      <c r="G395" t="s">
        <v>880</v>
      </c>
      <c r="H395">
        <v>10816.12</v>
      </c>
    </row>
    <row r="396" spans="7:8" x14ac:dyDescent="0.25">
      <c r="G396" t="s">
        <v>881</v>
      </c>
      <c r="H396">
        <v>1195.7599999999998</v>
      </c>
    </row>
    <row r="397" spans="7:8" x14ac:dyDescent="0.25">
      <c r="G397" t="s">
        <v>882</v>
      </c>
      <c r="H397">
        <v>69266.321368000019</v>
      </c>
    </row>
    <row r="398" spans="7:8" x14ac:dyDescent="0.25">
      <c r="G398" t="s">
        <v>883</v>
      </c>
      <c r="H398">
        <v>16.3</v>
      </c>
    </row>
    <row r="399" spans="7:8" x14ac:dyDescent="0.25">
      <c r="G399" t="s">
        <v>884</v>
      </c>
      <c r="H399">
        <v>141786.88014999972</v>
      </c>
    </row>
    <row r="400" spans="7:8" x14ac:dyDescent="0.25">
      <c r="G400" t="s">
        <v>885</v>
      </c>
      <c r="H400">
        <v>143008.09607959937</v>
      </c>
    </row>
    <row r="401" spans="7:8" x14ac:dyDescent="0.25">
      <c r="G401" t="s">
        <v>886</v>
      </c>
      <c r="H401">
        <v>206.90000000000006</v>
      </c>
    </row>
    <row r="402" spans="7:8" x14ac:dyDescent="0.25">
      <c r="G402" t="s">
        <v>887</v>
      </c>
      <c r="H402">
        <v>169022.46500000052</v>
      </c>
    </row>
    <row r="403" spans="7:8" x14ac:dyDescent="0.25">
      <c r="G403" t="s">
        <v>888</v>
      </c>
      <c r="H403">
        <v>1601.42</v>
      </c>
    </row>
    <row r="404" spans="7:8" x14ac:dyDescent="0.25">
      <c r="G404" t="s">
        <v>889</v>
      </c>
      <c r="H404">
        <v>37028.100000000006</v>
      </c>
    </row>
    <row r="405" spans="7:8" x14ac:dyDescent="0.25">
      <c r="G405" t="s">
        <v>890</v>
      </c>
      <c r="H405">
        <v>1271.02</v>
      </c>
    </row>
    <row r="406" spans="7:8" x14ac:dyDescent="0.25">
      <c r="G406" t="s">
        <v>891</v>
      </c>
      <c r="H406">
        <v>1447.3599000000002</v>
      </c>
    </row>
    <row r="407" spans="7:8" x14ac:dyDescent="0.25">
      <c r="G407" t="s">
        <v>892</v>
      </c>
      <c r="H407">
        <v>40899.339999999982</v>
      </c>
    </row>
    <row r="408" spans="7:8" x14ac:dyDescent="0.25">
      <c r="G408" t="s">
        <v>313</v>
      </c>
      <c r="H408">
        <v>60143.329999999994</v>
      </c>
    </row>
    <row r="409" spans="7:8" x14ac:dyDescent="0.25">
      <c r="G409" t="s">
        <v>893</v>
      </c>
      <c r="H409">
        <v>12623.969999999998</v>
      </c>
    </row>
    <row r="410" spans="7:8" x14ac:dyDescent="0.25">
      <c r="G410" t="s">
        <v>894</v>
      </c>
      <c r="H410">
        <v>1984.5</v>
      </c>
    </row>
    <row r="411" spans="7:8" x14ac:dyDescent="0.25">
      <c r="G411" t="s">
        <v>895</v>
      </c>
      <c r="H411">
        <v>7838.41</v>
      </c>
    </row>
    <row r="412" spans="7:8" x14ac:dyDescent="0.25">
      <c r="G412" t="s">
        <v>896</v>
      </c>
      <c r="H412">
        <v>51160.962579999985</v>
      </c>
    </row>
    <row r="413" spans="7:8" x14ac:dyDescent="0.25">
      <c r="G413" t="s">
        <v>897</v>
      </c>
      <c r="H413">
        <v>9330.6955999999991</v>
      </c>
    </row>
    <row r="414" spans="7:8" x14ac:dyDescent="0.25">
      <c r="G414" t="s">
        <v>898</v>
      </c>
      <c r="H414">
        <v>149543.8955000001</v>
      </c>
    </row>
    <row r="415" spans="7:8" x14ac:dyDescent="0.25">
      <c r="G415" t="s">
        <v>899</v>
      </c>
      <c r="H415">
        <v>11566.359299999996</v>
      </c>
    </row>
    <row r="416" spans="7:8" x14ac:dyDescent="0.25">
      <c r="G416" t="s">
        <v>900</v>
      </c>
      <c r="H416">
        <v>29536.448</v>
      </c>
    </row>
    <row r="417" spans="7:8" x14ac:dyDescent="0.25">
      <c r="G417" t="s">
        <v>901</v>
      </c>
      <c r="H417">
        <v>81354.676229999997</v>
      </c>
    </row>
    <row r="418" spans="7:8" x14ac:dyDescent="0.25">
      <c r="G418" t="s">
        <v>902</v>
      </c>
      <c r="H418">
        <v>1397.8700000000001</v>
      </c>
    </row>
    <row r="419" spans="7:8" x14ac:dyDescent="0.25">
      <c r="G419" t="s">
        <v>903</v>
      </c>
      <c r="H419">
        <v>13494.8</v>
      </c>
    </row>
    <row r="420" spans="7:8" x14ac:dyDescent="0.25">
      <c r="G420" t="s">
        <v>904</v>
      </c>
      <c r="H420">
        <v>172789.38660000026</v>
      </c>
    </row>
    <row r="421" spans="7:8" x14ac:dyDescent="0.25">
      <c r="G421" t="s">
        <v>905</v>
      </c>
      <c r="H421">
        <v>33587.532078999997</v>
      </c>
    </row>
    <row r="422" spans="7:8" x14ac:dyDescent="0.25">
      <c r="G422" t="s">
        <v>906</v>
      </c>
      <c r="H422">
        <v>61064.398492100168</v>
      </c>
    </row>
    <row r="423" spans="7:8" x14ac:dyDescent="0.25">
      <c r="G423" t="s">
        <v>907</v>
      </c>
      <c r="H423">
        <v>34396.452319999982</v>
      </c>
    </row>
    <row r="424" spans="7:8" x14ac:dyDescent="0.25">
      <c r="G424" t="s">
        <v>908</v>
      </c>
      <c r="H424">
        <v>2654825.3070356995</v>
      </c>
    </row>
    <row r="425" spans="7:8" x14ac:dyDescent="0.25">
      <c r="G425" t="s">
        <v>909</v>
      </c>
      <c r="H425">
        <v>939710.38069740043</v>
      </c>
    </row>
    <row r="426" spans="7:8" x14ac:dyDescent="0.25">
      <c r="G426" t="s">
        <v>910</v>
      </c>
      <c r="H426">
        <v>730.8</v>
      </c>
    </row>
    <row r="427" spans="7:8" x14ac:dyDescent="0.25">
      <c r="G427" t="s">
        <v>381</v>
      </c>
      <c r="H427">
        <v>359517.19836899999</v>
      </c>
    </row>
    <row r="428" spans="7:8" x14ac:dyDescent="0.25">
      <c r="G428" t="s">
        <v>911</v>
      </c>
      <c r="H428">
        <v>2990</v>
      </c>
    </row>
    <row r="429" spans="7:8" x14ac:dyDescent="0.25">
      <c r="G429" t="s">
        <v>912</v>
      </c>
      <c r="H429">
        <v>265372.02679999999</v>
      </c>
    </row>
    <row r="430" spans="7:8" x14ac:dyDescent="0.25">
      <c r="G430" t="s">
        <v>913</v>
      </c>
      <c r="H430">
        <v>46920</v>
      </c>
    </row>
    <row r="431" spans="7:8" x14ac:dyDescent="0.25">
      <c r="G431" t="s">
        <v>914</v>
      </c>
      <c r="H431">
        <v>19736.150000000005</v>
      </c>
    </row>
    <row r="432" spans="7:8" x14ac:dyDescent="0.25">
      <c r="G432" t="s">
        <v>915</v>
      </c>
      <c r="H432">
        <v>8007.34</v>
      </c>
    </row>
    <row r="433" spans="7:8" x14ac:dyDescent="0.25">
      <c r="G433" t="s">
        <v>916</v>
      </c>
      <c r="H433">
        <v>1934593.5899999994</v>
      </c>
    </row>
    <row r="434" spans="7:8" x14ac:dyDescent="0.25">
      <c r="G434" t="s">
        <v>917</v>
      </c>
      <c r="H434">
        <v>9094627.8986400068</v>
      </c>
    </row>
    <row r="435" spans="7:8" x14ac:dyDescent="0.25">
      <c r="G435" t="s">
        <v>918</v>
      </c>
      <c r="H435">
        <v>80146.585844499976</v>
      </c>
    </row>
    <row r="436" spans="7:8" x14ac:dyDescent="0.25">
      <c r="G436" t="s">
        <v>919</v>
      </c>
      <c r="H436">
        <v>255191.1626502999</v>
      </c>
    </row>
    <row r="437" spans="7:8" x14ac:dyDescent="0.25">
      <c r="G437" t="s">
        <v>920</v>
      </c>
      <c r="H437">
        <v>137512.95039999997</v>
      </c>
    </row>
    <row r="438" spans="7:8" x14ac:dyDescent="0.25">
      <c r="G438" t="s">
        <v>921</v>
      </c>
      <c r="H438">
        <v>125752.715048</v>
      </c>
    </row>
    <row r="439" spans="7:8" x14ac:dyDescent="0.25">
      <c r="G439" t="s">
        <v>922</v>
      </c>
      <c r="H439">
        <v>1352188</v>
      </c>
    </row>
    <row r="440" spans="7:8" x14ac:dyDescent="0.25">
      <c r="G440" t="s">
        <v>923</v>
      </c>
      <c r="H440">
        <v>2326630.9399999995</v>
      </c>
    </row>
    <row r="441" spans="7:8" x14ac:dyDescent="0.25">
      <c r="G441" t="s">
        <v>924</v>
      </c>
      <c r="H441">
        <v>591642.40500000003</v>
      </c>
    </row>
    <row r="442" spans="7:8" x14ac:dyDescent="0.25">
      <c r="G442" t="s">
        <v>925</v>
      </c>
      <c r="H442">
        <v>1376359.04</v>
      </c>
    </row>
    <row r="443" spans="7:8" x14ac:dyDescent="0.25">
      <c r="G443" t="s">
        <v>926</v>
      </c>
      <c r="H443">
        <v>880893.39999999991</v>
      </c>
    </row>
    <row r="444" spans="7:8" x14ac:dyDescent="0.25">
      <c r="G444" t="s">
        <v>927</v>
      </c>
      <c r="H444">
        <v>84096.989999999976</v>
      </c>
    </row>
    <row r="445" spans="7:8" x14ac:dyDescent="0.25">
      <c r="G445" t="s">
        <v>418</v>
      </c>
      <c r="H445">
        <v>193905.11999999997</v>
      </c>
    </row>
    <row r="446" spans="7:8" x14ac:dyDescent="0.25">
      <c r="G446" t="s">
        <v>928</v>
      </c>
      <c r="H446">
        <v>224407.91</v>
      </c>
    </row>
    <row r="447" spans="7:8" x14ac:dyDescent="0.25">
      <c r="G447" t="s">
        <v>929</v>
      </c>
      <c r="H447">
        <v>358847.38000460004</v>
      </c>
    </row>
    <row r="448" spans="7:8" x14ac:dyDescent="0.25">
      <c r="G448" t="s">
        <v>930</v>
      </c>
      <c r="H448">
        <v>4516363.2635000031</v>
      </c>
    </row>
    <row r="449" spans="7:8" x14ac:dyDescent="0.25">
      <c r="G449" t="s">
        <v>414</v>
      </c>
      <c r="H449">
        <v>198482.94</v>
      </c>
    </row>
    <row r="450" spans="7:8" x14ac:dyDescent="0.25">
      <c r="G450" t="s">
        <v>931</v>
      </c>
      <c r="H450">
        <v>65001.225000000006</v>
      </c>
    </row>
    <row r="451" spans="7:8" x14ac:dyDescent="0.25">
      <c r="G451" t="s">
        <v>357</v>
      </c>
      <c r="H451">
        <v>1267436.53088</v>
      </c>
    </row>
    <row r="452" spans="7:8" x14ac:dyDescent="0.25">
      <c r="G452" t="s">
        <v>932</v>
      </c>
      <c r="H452">
        <v>139410.63</v>
      </c>
    </row>
    <row r="453" spans="7:8" x14ac:dyDescent="0.25">
      <c r="G453" t="s">
        <v>933</v>
      </c>
      <c r="H453">
        <v>6854</v>
      </c>
    </row>
    <row r="454" spans="7:8" x14ac:dyDescent="0.25">
      <c r="G454" t="s">
        <v>934</v>
      </c>
      <c r="H454">
        <v>1948172</v>
      </c>
    </row>
    <row r="455" spans="7:8" x14ac:dyDescent="0.25">
      <c r="G455" t="s">
        <v>935</v>
      </c>
      <c r="H455">
        <v>740674.9800000001</v>
      </c>
    </row>
    <row r="456" spans="7:8" x14ac:dyDescent="0.25">
      <c r="G456" t="s">
        <v>936</v>
      </c>
      <c r="H456">
        <v>228561.37</v>
      </c>
    </row>
    <row r="457" spans="7:8" x14ac:dyDescent="0.25">
      <c r="G457" t="s">
        <v>937</v>
      </c>
      <c r="H457">
        <v>121033.53499999999</v>
      </c>
    </row>
    <row r="458" spans="7:8" x14ac:dyDescent="0.25">
      <c r="G458" t="s">
        <v>938</v>
      </c>
      <c r="H458">
        <v>11973100.793999996</v>
      </c>
    </row>
    <row r="459" spans="7:8" x14ac:dyDescent="0.25">
      <c r="G459" t="s">
        <v>939</v>
      </c>
      <c r="H459">
        <v>221940.21</v>
      </c>
    </row>
    <row r="460" spans="7:8" x14ac:dyDescent="0.25">
      <c r="G460" t="s">
        <v>940</v>
      </c>
      <c r="H460">
        <v>8257.5999999999985</v>
      </c>
    </row>
    <row r="461" spans="7:8" x14ac:dyDescent="0.25">
      <c r="G461" t="s">
        <v>941</v>
      </c>
      <c r="H461">
        <v>1085917.6499999999</v>
      </c>
    </row>
    <row r="462" spans="7:8" x14ac:dyDescent="0.25">
      <c r="G462" t="s">
        <v>942</v>
      </c>
      <c r="H462">
        <v>1455923</v>
      </c>
    </row>
    <row r="463" spans="7:8" x14ac:dyDescent="0.25">
      <c r="G463" t="s">
        <v>943</v>
      </c>
      <c r="H463">
        <v>61300</v>
      </c>
    </row>
    <row r="464" spans="7:8" x14ac:dyDescent="0.25">
      <c r="G464" t="s">
        <v>944</v>
      </c>
      <c r="H464">
        <v>197088.98516499993</v>
      </c>
    </row>
    <row r="465" spans="7:8" x14ac:dyDescent="0.25">
      <c r="G465" t="s">
        <v>945</v>
      </c>
      <c r="H465">
        <v>87500.825333300032</v>
      </c>
    </row>
    <row r="466" spans="7:8" x14ac:dyDescent="0.25">
      <c r="G466" t="s">
        <v>946</v>
      </c>
      <c r="H466">
        <v>115000</v>
      </c>
    </row>
    <row r="467" spans="7:8" x14ac:dyDescent="0.25">
      <c r="G467" t="s">
        <v>947</v>
      </c>
      <c r="H467">
        <v>337709.92000000004</v>
      </c>
    </row>
    <row r="468" spans="7:8" x14ac:dyDescent="0.25">
      <c r="G468" t="s">
        <v>948</v>
      </c>
      <c r="H468">
        <v>188015.14000000007</v>
      </c>
    </row>
    <row r="469" spans="7:8" x14ac:dyDescent="0.25">
      <c r="G469" t="s">
        <v>949</v>
      </c>
      <c r="H469">
        <v>226113.30999999994</v>
      </c>
    </row>
    <row r="470" spans="7:8" x14ac:dyDescent="0.25">
      <c r="G470" t="s">
        <v>950</v>
      </c>
      <c r="H470">
        <v>11625</v>
      </c>
    </row>
    <row r="471" spans="7:8" x14ac:dyDescent="0.25">
      <c r="G471" t="s">
        <v>951</v>
      </c>
      <c r="H471">
        <v>3464374.0024000006</v>
      </c>
    </row>
    <row r="472" spans="7:8" x14ac:dyDescent="0.25">
      <c r="G472" t="s">
        <v>952</v>
      </c>
      <c r="H472">
        <v>117128</v>
      </c>
    </row>
    <row r="473" spans="7:8" x14ac:dyDescent="0.25">
      <c r="G473" t="s">
        <v>953</v>
      </c>
      <c r="H473">
        <v>34123.24</v>
      </c>
    </row>
    <row r="474" spans="7:8" x14ac:dyDescent="0.25">
      <c r="G474" t="s">
        <v>954</v>
      </c>
      <c r="H474">
        <v>118003.73</v>
      </c>
    </row>
    <row r="475" spans="7:8" x14ac:dyDescent="0.25">
      <c r="G475" t="s">
        <v>249</v>
      </c>
      <c r="H475">
        <v>185698.74550000011</v>
      </c>
    </row>
    <row r="476" spans="7:8" x14ac:dyDescent="0.25">
      <c r="G476" t="s">
        <v>955</v>
      </c>
      <c r="H476">
        <v>572875.70000000019</v>
      </c>
    </row>
    <row r="477" spans="7:8" x14ac:dyDescent="0.25">
      <c r="G477" t="s">
        <v>956</v>
      </c>
      <c r="H477">
        <v>16070.149999999998</v>
      </c>
    </row>
    <row r="478" spans="7:8" x14ac:dyDescent="0.25">
      <c r="G478" t="s">
        <v>957</v>
      </c>
      <c r="H478">
        <v>29048.379999999965</v>
      </c>
    </row>
    <row r="479" spans="7:8" x14ac:dyDescent="0.25">
      <c r="G479" t="s">
        <v>958</v>
      </c>
      <c r="H479">
        <v>23713.837856000013</v>
      </c>
    </row>
    <row r="480" spans="7:8" x14ac:dyDescent="0.25">
      <c r="G480" t="s">
        <v>959</v>
      </c>
      <c r="H480">
        <v>13881.99</v>
      </c>
    </row>
    <row r="481" spans="7:8" x14ac:dyDescent="0.25">
      <c r="G481" t="s">
        <v>960</v>
      </c>
      <c r="H481">
        <v>350035.32130000001</v>
      </c>
    </row>
    <row r="482" spans="7:8" x14ac:dyDescent="0.25">
      <c r="G482" t="s">
        <v>961</v>
      </c>
      <c r="H482">
        <v>23981.029999999977</v>
      </c>
    </row>
    <row r="483" spans="7:8" x14ac:dyDescent="0.25">
      <c r="G483" t="s">
        <v>962</v>
      </c>
      <c r="H483">
        <v>1379.83</v>
      </c>
    </row>
    <row r="484" spans="7:8" x14ac:dyDescent="0.25">
      <c r="G484" t="s">
        <v>963</v>
      </c>
      <c r="H484">
        <v>9871.4</v>
      </c>
    </row>
    <row r="485" spans="7:8" x14ac:dyDescent="0.25">
      <c r="G485" t="s">
        <v>47</v>
      </c>
      <c r="H485">
        <v>141917.56</v>
      </c>
    </row>
    <row r="486" spans="7:8" x14ac:dyDescent="0.25">
      <c r="G486" t="s">
        <v>964</v>
      </c>
      <c r="H486">
        <v>459023.15518199961</v>
      </c>
    </row>
    <row r="487" spans="7:8" x14ac:dyDescent="0.25">
      <c r="G487" t="s">
        <v>965</v>
      </c>
      <c r="H487">
        <v>5473.0965000000006</v>
      </c>
    </row>
    <row r="488" spans="7:8" x14ac:dyDescent="0.25">
      <c r="G488" t="s">
        <v>966</v>
      </c>
      <c r="H488">
        <v>1552.84</v>
      </c>
    </row>
    <row r="489" spans="7:8" x14ac:dyDescent="0.25">
      <c r="G489" t="s">
        <v>967</v>
      </c>
      <c r="H489">
        <v>34463.000489999984</v>
      </c>
    </row>
    <row r="490" spans="7:8" x14ac:dyDescent="0.25">
      <c r="G490" t="s">
        <v>968</v>
      </c>
      <c r="H490">
        <v>552</v>
      </c>
    </row>
    <row r="491" spans="7:8" x14ac:dyDescent="0.25">
      <c r="G491" t="s">
        <v>969</v>
      </c>
      <c r="H491">
        <v>789.90000000000009</v>
      </c>
    </row>
    <row r="492" spans="7:8" x14ac:dyDescent="0.25">
      <c r="G492" t="s">
        <v>970</v>
      </c>
      <c r="H492">
        <v>23734.794839999995</v>
      </c>
    </row>
    <row r="493" spans="7:8" x14ac:dyDescent="0.25">
      <c r="G493" t="s">
        <v>971</v>
      </c>
      <c r="H493">
        <v>2583910.0647800001</v>
      </c>
    </row>
    <row r="494" spans="7:8" x14ac:dyDescent="0.25">
      <c r="G494" t="s">
        <v>972</v>
      </c>
      <c r="H494">
        <v>2227.6061</v>
      </c>
    </row>
    <row r="495" spans="7:8" x14ac:dyDescent="0.25">
      <c r="G495" t="s">
        <v>973</v>
      </c>
      <c r="H495">
        <v>229326.9006000002</v>
      </c>
    </row>
    <row r="496" spans="7:8" x14ac:dyDescent="0.25">
      <c r="G496" t="s">
        <v>974</v>
      </c>
      <c r="H496">
        <v>58590.356309999908</v>
      </c>
    </row>
    <row r="497" spans="7:8" x14ac:dyDescent="0.25">
      <c r="G497" t="s">
        <v>975</v>
      </c>
      <c r="H497">
        <v>3651.225685599999</v>
      </c>
    </row>
    <row r="498" spans="7:8" x14ac:dyDescent="0.25">
      <c r="G498" t="s">
        <v>976</v>
      </c>
      <c r="H498">
        <v>98430.792800000039</v>
      </c>
    </row>
    <row r="499" spans="7:8" x14ac:dyDescent="0.25">
      <c r="G499" t="s">
        <v>977</v>
      </c>
      <c r="H499">
        <v>1318.76</v>
      </c>
    </row>
    <row r="500" spans="7:8" x14ac:dyDescent="0.25">
      <c r="G500" t="s">
        <v>978</v>
      </c>
      <c r="H500">
        <v>137509.97000000003</v>
      </c>
    </row>
    <row r="501" spans="7:8" x14ac:dyDescent="0.25">
      <c r="G501" t="s">
        <v>979</v>
      </c>
      <c r="H501">
        <v>79920.564000000028</v>
      </c>
    </row>
    <row r="502" spans="7:8" x14ac:dyDescent="0.25">
      <c r="G502" t="s">
        <v>980</v>
      </c>
      <c r="H502">
        <v>380.4</v>
      </c>
    </row>
    <row r="503" spans="7:8" x14ac:dyDescent="0.25">
      <c r="G503" t="s">
        <v>981</v>
      </c>
      <c r="H503">
        <v>68029.739999999991</v>
      </c>
    </row>
    <row r="504" spans="7:8" x14ac:dyDescent="0.25">
      <c r="G504" t="s">
        <v>982</v>
      </c>
      <c r="H504">
        <v>364778.58</v>
      </c>
    </row>
    <row r="505" spans="7:8" x14ac:dyDescent="0.25">
      <c r="G505" t="s">
        <v>983</v>
      </c>
      <c r="H505">
        <v>179942.59</v>
      </c>
    </row>
    <row r="506" spans="7:8" x14ac:dyDescent="0.25">
      <c r="G506" t="s">
        <v>984</v>
      </c>
      <c r="H506">
        <v>425233.64</v>
      </c>
    </row>
    <row r="507" spans="7:8" x14ac:dyDescent="0.25">
      <c r="G507" t="s">
        <v>985</v>
      </c>
      <c r="H507">
        <v>136731.21999999997</v>
      </c>
    </row>
    <row r="508" spans="7:8" x14ac:dyDescent="0.25">
      <c r="G508" t="s">
        <v>986</v>
      </c>
      <c r="H508">
        <v>314043.64540000004</v>
      </c>
    </row>
    <row r="509" spans="7:8" x14ac:dyDescent="0.25">
      <c r="G509" t="s">
        <v>987</v>
      </c>
      <c r="H509">
        <v>368629.94999999995</v>
      </c>
    </row>
    <row r="510" spans="7:8" x14ac:dyDescent="0.25">
      <c r="G510" t="s">
        <v>988</v>
      </c>
      <c r="H510">
        <v>373442.32999999996</v>
      </c>
    </row>
    <row r="511" spans="7:8" x14ac:dyDescent="0.25">
      <c r="G511" t="s">
        <v>989</v>
      </c>
      <c r="H511">
        <v>1337333.0998261999</v>
      </c>
    </row>
    <row r="512" spans="7:8" x14ac:dyDescent="0.25">
      <c r="G512" t="s">
        <v>990</v>
      </c>
      <c r="H512">
        <v>144615.59999999998</v>
      </c>
    </row>
    <row r="513" spans="7:8" x14ac:dyDescent="0.25">
      <c r="G513" t="s">
        <v>991</v>
      </c>
      <c r="H513">
        <v>35044.22</v>
      </c>
    </row>
    <row r="514" spans="7:8" x14ac:dyDescent="0.25">
      <c r="G514" t="s">
        <v>992</v>
      </c>
      <c r="H514">
        <v>574526.92000000016</v>
      </c>
    </row>
    <row r="515" spans="7:8" x14ac:dyDescent="0.25">
      <c r="G515" t="s">
        <v>993</v>
      </c>
      <c r="H515">
        <v>839281.97</v>
      </c>
    </row>
    <row r="516" spans="7:8" x14ac:dyDescent="0.25">
      <c r="G516" t="s">
        <v>994</v>
      </c>
      <c r="H516">
        <v>424404.21</v>
      </c>
    </row>
    <row r="517" spans="7:8" x14ac:dyDescent="0.25">
      <c r="G517" t="s">
        <v>995</v>
      </c>
      <c r="H517">
        <v>783387.73830000043</v>
      </c>
    </row>
    <row r="518" spans="7:8" x14ac:dyDescent="0.25">
      <c r="G518" t="s">
        <v>996</v>
      </c>
      <c r="H518">
        <v>558638.77600000007</v>
      </c>
    </row>
    <row r="519" spans="7:8" x14ac:dyDescent="0.25">
      <c r="G519" t="s">
        <v>443</v>
      </c>
      <c r="H519">
        <v>438376.30969989998</v>
      </c>
    </row>
    <row r="520" spans="7:8" x14ac:dyDescent="0.25">
      <c r="G520" t="s">
        <v>997</v>
      </c>
      <c r="H520">
        <v>419751.48599999998</v>
      </c>
    </row>
    <row r="521" spans="7:8" x14ac:dyDescent="0.25">
      <c r="G521" t="s">
        <v>998</v>
      </c>
      <c r="H521">
        <v>264116.11</v>
      </c>
    </row>
    <row r="522" spans="7:8" x14ac:dyDescent="0.25">
      <c r="G522" t="s">
        <v>999</v>
      </c>
      <c r="H522">
        <v>579329.22999999986</v>
      </c>
    </row>
    <row r="523" spans="7:8" x14ac:dyDescent="0.25">
      <c r="G523" t="s">
        <v>1000</v>
      </c>
      <c r="H523">
        <v>93710.018400000015</v>
      </c>
    </row>
    <row r="524" spans="7:8" x14ac:dyDescent="0.25">
      <c r="G524" t="s">
        <v>1001</v>
      </c>
      <c r="H524">
        <v>391206.61850399995</v>
      </c>
    </row>
    <row r="525" spans="7:8" x14ac:dyDescent="0.25">
      <c r="G525" t="s">
        <v>1002</v>
      </c>
      <c r="H525">
        <v>1835640.6834983991</v>
      </c>
    </row>
    <row r="526" spans="7:8" x14ac:dyDescent="0.25">
      <c r="G526" t="s">
        <v>1003</v>
      </c>
      <c r="H526">
        <v>35098.65</v>
      </c>
    </row>
    <row r="527" spans="7:8" x14ac:dyDescent="0.25">
      <c r="G527" t="s">
        <v>1004</v>
      </c>
      <c r="H527">
        <v>413203.92</v>
      </c>
    </row>
    <row r="528" spans="7:8" x14ac:dyDescent="0.25">
      <c r="G528" t="s">
        <v>1005</v>
      </c>
      <c r="H528">
        <v>236232.49000000002</v>
      </c>
    </row>
    <row r="529" spans="7:8" x14ac:dyDescent="0.25">
      <c r="G529" t="s">
        <v>1006</v>
      </c>
      <c r="H529">
        <v>37488.629999999997</v>
      </c>
    </row>
    <row r="530" spans="7:8" x14ac:dyDescent="0.25">
      <c r="G530" t="s">
        <v>1007</v>
      </c>
      <c r="H530">
        <v>241875.93499999994</v>
      </c>
    </row>
    <row r="531" spans="7:8" x14ac:dyDescent="0.25">
      <c r="G531" t="s">
        <v>1008</v>
      </c>
      <c r="H531">
        <v>471059.5199999999</v>
      </c>
    </row>
    <row r="532" spans="7:8" x14ac:dyDescent="0.25">
      <c r="G532" t="s">
        <v>1009</v>
      </c>
      <c r="H532">
        <v>381498.2699999999</v>
      </c>
    </row>
    <row r="533" spans="7:8" x14ac:dyDescent="0.25">
      <c r="G533" t="s">
        <v>1010</v>
      </c>
      <c r="H533">
        <v>46237.541599999997</v>
      </c>
    </row>
    <row r="534" spans="7:8" x14ac:dyDescent="0.25">
      <c r="G534" t="s">
        <v>1011</v>
      </c>
      <c r="H534">
        <v>104570.84000000001</v>
      </c>
    </row>
    <row r="535" spans="7:8" x14ac:dyDescent="0.25">
      <c r="G535" t="s">
        <v>1012</v>
      </c>
      <c r="H535">
        <v>7786.6200000000008</v>
      </c>
    </row>
    <row r="536" spans="7:8" x14ac:dyDescent="0.25">
      <c r="G536" t="s">
        <v>1013</v>
      </c>
      <c r="H536">
        <v>6710.905999999999</v>
      </c>
    </row>
    <row r="537" spans="7:8" x14ac:dyDescent="0.25">
      <c r="G537" t="s">
        <v>1014</v>
      </c>
      <c r="H537">
        <v>174246.29542329983</v>
      </c>
    </row>
    <row r="538" spans="7:8" x14ac:dyDescent="0.25">
      <c r="G538" t="s">
        <v>1015</v>
      </c>
      <c r="H538">
        <v>125050.22097140001</v>
      </c>
    </row>
    <row r="539" spans="7:8" x14ac:dyDescent="0.25">
      <c r="G539" t="s">
        <v>1016</v>
      </c>
      <c r="H539">
        <v>582055.82079999708</v>
      </c>
    </row>
    <row r="540" spans="7:8" x14ac:dyDescent="0.25">
      <c r="G540" t="s">
        <v>1017</v>
      </c>
      <c r="H540">
        <v>82555.419999999896</v>
      </c>
    </row>
    <row r="541" spans="7:8" x14ac:dyDescent="0.25">
      <c r="G541" t="s">
        <v>1018</v>
      </c>
      <c r="H541">
        <v>48323.803599999992</v>
      </c>
    </row>
    <row r="542" spans="7:8" x14ac:dyDescent="0.25">
      <c r="G542" t="s">
        <v>1019</v>
      </c>
      <c r="H542">
        <v>11336.44</v>
      </c>
    </row>
    <row r="543" spans="7:8" x14ac:dyDescent="0.25">
      <c r="G543" t="s">
        <v>1020</v>
      </c>
      <c r="H543">
        <v>175434.83999999997</v>
      </c>
    </row>
    <row r="544" spans="7:8" x14ac:dyDescent="0.25">
      <c r="G544" t="s">
        <v>1021</v>
      </c>
      <c r="H544">
        <v>69556.606458000009</v>
      </c>
    </row>
    <row r="545" spans="7:8" x14ac:dyDescent="0.25">
      <c r="G545" t="s">
        <v>1022</v>
      </c>
      <c r="H545">
        <v>110726.32388870011</v>
      </c>
    </row>
    <row r="546" spans="7:8" x14ac:dyDescent="0.25">
      <c r="G546" t="s">
        <v>1023</v>
      </c>
      <c r="H546">
        <v>316298.39600000012</v>
      </c>
    </row>
    <row r="547" spans="7:8" x14ac:dyDescent="0.25">
      <c r="G547" t="s">
        <v>1024</v>
      </c>
      <c r="H547">
        <v>159309.48000000001</v>
      </c>
    </row>
    <row r="548" spans="7:8" x14ac:dyDescent="0.25">
      <c r="G548" t="s">
        <v>1025</v>
      </c>
      <c r="H548">
        <v>194040.00817860002</v>
      </c>
    </row>
    <row r="549" spans="7:8" x14ac:dyDescent="0.25">
      <c r="G549" t="s">
        <v>1026</v>
      </c>
      <c r="H549">
        <v>4519050.1900000013</v>
      </c>
    </row>
    <row r="550" spans="7:8" x14ac:dyDescent="0.25">
      <c r="G550" t="s">
        <v>1027</v>
      </c>
      <c r="H550">
        <v>119300.09295299939</v>
      </c>
    </row>
    <row r="551" spans="7:8" x14ac:dyDescent="0.25">
      <c r="G551" t="s">
        <v>1028</v>
      </c>
      <c r="H551">
        <v>994.90000000000009</v>
      </c>
    </row>
    <row r="552" spans="7:8" x14ac:dyDescent="0.25">
      <c r="G552" t="s">
        <v>1029</v>
      </c>
      <c r="H552">
        <v>36282.792529999984</v>
      </c>
    </row>
    <row r="553" spans="7:8" x14ac:dyDescent="0.25">
      <c r="G553" t="s">
        <v>1030</v>
      </c>
      <c r="H553">
        <v>20191.950000000004</v>
      </c>
    </row>
    <row r="554" spans="7:8" x14ac:dyDescent="0.25">
      <c r="G554" t="s">
        <v>502</v>
      </c>
      <c r="H554">
        <v>228919443.2415095</v>
      </c>
    </row>
  </sheetData>
  <conditionalFormatting sqref="L4">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query (18)</vt:lpstr>
      <vt:lpstr>A013 TCD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Roturier Laurent</dc:creator>
  <cp:lastModifiedBy>Roturier Laurent</cp:lastModifiedBy>
  <dcterms:created xsi:type="dcterms:W3CDTF">2026-03-31T12:24:30Z</dcterms:created>
  <dcterms:modified xsi:type="dcterms:W3CDTF">2026-04-01T17:33:34Z</dcterms:modified>
</cp:coreProperties>
</file>